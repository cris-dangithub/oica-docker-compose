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y\Downloads\"/>
    </mc:Choice>
  </mc:AlternateContent>
  <xr:revisionPtr revIDLastSave="0" documentId="13_ncr:1_{8F208A1D-24A0-41ED-845C-285076DCCBF9}" xr6:coauthVersionLast="47" xr6:coauthVersionMax="47" xr10:uidLastSave="{00000000-0000-0000-0000-000000000000}"/>
  <bookViews>
    <workbookView xWindow="-108" yWindow="-108" windowWidth="23256" windowHeight="12456" xr2:uid="{7233FACE-8E07-4854-B6E7-F851FFCDD998}"/>
  </bookViews>
  <sheets>
    <sheet name="Hoja1" sheetId="1" r:id="rId1"/>
    <sheet name="TablaBarras" sheetId="2" r:id="rId2"/>
  </sheets>
  <definedNames>
    <definedName name="_xlnm.Print_Area" localSheetId="0">Hoja1!$A$1:$G$138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5" i="1" l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tc={6FDB36F0-F974-4EBF-B623-A5856D50DD77}</author>
  </authors>
  <commentList>
    <comment ref="F1" authorId="0" shapeId="0" xr:uid="{6FDB36F0-F974-4EBF-B623-A5856D50DD7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Sirve para organizar las barras por etapas o partes del proyecto. Además, permite que el algoritmo trabaje más rápido agrupando por diámetro.
Ejemplo:
Todas las barras #4 para la losa pueden ir en el grupo 1, y las #5 para columnas en el grupo 2.
</t>
      </text>
    </comment>
  </commentList>
</comments>
</file>

<file path=xl/sharedStrings.xml><?xml version="1.0" encoding="utf-8"?>
<sst xmlns="http://schemas.openxmlformats.org/spreadsheetml/2006/main" count="296" uniqueCount="110">
  <si>
    <t>Cantidad</t>
  </si>
  <si>
    <t>N° de Barra</t>
  </si>
  <si>
    <t>Longitud total (m)</t>
  </si>
  <si>
    <t>N° Barra</t>
  </si>
  <si>
    <t>Masa por metro lineal (kg/m)</t>
  </si>
  <si>
    <t>Elemento</t>
  </si>
  <si>
    <t>Masa total (kg)</t>
  </si>
  <si>
    <t>Diámetro nominal (m)</t>
  </si>
  <si>
    <t>N° Orden</t>
  </si>
  <si>
    <t>Grupo de Ejecución</t>
  </si>
  <si>
    <t>#4</t>
  </si>
  <si>
    <t>#5</t>
  </si>
  <si>
    <t>#2</t>
  </si>
  <si>
    <t>#3</t>
  </si>
  <si>
    <t>#6</t>
  </si>
  <si>
    <t>#7</t>
  </si>
  <si>
    <t>#8</t>
  </si>
  <si>
    <t>#9</t>
  </si>
  <si>
    <t>#10</t>
  </si>
  <si>
    <t>#11</t>
  </si>
  <si>
    <t>#14</t>
  </si>
  <si>
    <t>#18</t>
  </si>
  <si>
    <t>Muro de Contención</t>
  </si>
  <si>
    <t>Muro M4</t>
  </si>
  <si>
    <t>Muro M2</t>
  </si>
  <si>
    <t>Muro M3</t>
  </si>
  <si>
    <t>Muro M21, M2</t>
  </si>
  <si>
    <t>Muro M5</t>
  </si>
  <si>
    <t>Columna C-1,C-2,C-7</t>
  </si>
  <si>
    <t>Columna C-3,C-4</t>
  </si>
  <si>
    <t>Vigas</t>
  </si>
  <si>
    <t>Diferentes elementos</t>
  </si>
  <si>
    <t>Viga</t>
  </si>
  <si>
    <t>Muros</t>
  </si>
  <si>
    <t>Viga-5</t>
  </si>
  <si>
    <t>Viga-4</t>
  </si>
  <si>
    <t>Viga-21</t>
  </si>
  <si>
    <t>Viga-15</t>
  </si>
  <si>
    <t>Vigas, VG-9,VG-21</t>
  </si>
  <si>
    <t>Viga 5</t>
  </si>
  <si>
    <t>Viga 12</t>
  </si>
  <si>
    <t>Viga 14</t>
  </si>
  <si>
    <t>Viga 9</t>
  </si>
  <si>
    <t>Vigas, VG-8,VG-13</t>
  </si>
  <si>
    <t>Z-11</t>
  </si>
  <si>
    <t>Z-4</t>
  </si>
  <si>
    <t>Viga 6</t>
  </si>
  <si>
    <t>Vigas, VG-7,VG-8</t>
  </si>
  <si>
    <t>Viga 22</t>
  </si>
  <si>
    <t>Viga 16</t>
  </si>
  <si>
    <t>Vigas, VG-3,VG-4</t>
  </si>
  <si>
    <t>Viga 1</t>
  </si>
  <si>
    <t>Z-10,Z-14,Z-15</t>
  </si>
  <si>
    <t>Muro M5, Viga VG-1</t>
  </si>
  <si>
    <t>VG-3,VG-5</t>
  </si>
  <si>
    <t>VG-10</t>
  </si>
  <si>
    <t>VG-22,VG-12</t>
  </si>
  <si>
    <t>VG-1,VG-3</t>
  </si>
  <si>
    <t>C-5,M-2,M-5</t>
  </si>
  <si>
    <t>VG-14,VG-5</t>
  </si>
  <si>
    <t>Z-13</t>
  </si>
  <si>
    <t>VG-20</t>
  </si>
  <si>
    <t>VG-2,VG-5</t>
  </si>
  <si>
    <t>VG-5A.VG-13</t>
  </si>
  <si>
    <t>VG-3</t>
  </si>
  <si>
    <t>VG-24</t>
  </si>
  <si>
    <t>VG-4</t>
  </si>
  <si>
    <t>VG-3,VG-8</t>
  </si>
  <si>
    <t>VG-9</t>
  </si>
  <si>
    <t>Z-8</t>
  </si>
  <si>
    <t>VG-14</t>
  </si>
  <si>
    <t>VG-25</t>
  </si>
  <si>
    <t>C-6</t>
  </si>
  <si>
    <t>VG-6</t>
  </si>
  <si>
    <t>VG-5A</t>
  </si>
  <si>
    <t>Z-5,Z-6</t>
  </si>
  <si>
    <t>VG-23</t>
  </si>
  <si>
    <t>VG-8</t>
  </si>
  <si>
    <t>M2,M5</t>
  </si>
  <si>
    <t>Z-3,Z-7</t>
  </si>
  <si>
    <t>VG-21</t>
  </si>
  <si>
    <t>VG-22</t>
  </si>
  <si>
    <t>Z-9</t>
  </si>
  <si>
    <t>VG-15</t>
  </si>
  <si>
    <t>VG-17</t>
  </si>
  <si>
    <t>VG-2</t>
  </si>
  <si>
    <t>Z-12</t>
  </si>
  <si>
    <t>VG-CIM4</t>
  </si>
  <si>
    <t>VG-CIM4,C-3,C-4</t>
  </si>
  <si>
    <t>Z-5</t>
  </si>
  <si>
    <t>VG-CIM3</t>
  </si>
  <si>
    <t>VG-13</t>
  </si>
  <si>
    <t>C-1,C-3,M1,M3,M4</t>
  </si>
  <si>
    <t>VG-CIM5</t>
  </si>
  <si>
    <t>C-7</t>
  </si>
  <si>
    <t>VG-12,VG-14</t>
  </si>
  <si>
    <t>VG-13,VG-14</t>
  </si>
  <si>
    <t>Z-1</t>
  </si>
  <si>
    <t>C-4</t>
  </si>
  <si>
    <t>C-3,C-4</t>
  </si>
  <si>
    <t>Z-2</t>
  </si>
  <si>
    <t>Z-6,Z-9</t>
  </si>
  <si>
    <t>Z-7</t>
  </si>
  <si>
    <t>VG-8,VG-13</t>
  </si>
  <si>
    <t>VG-CIM4,C-7</t>
  </si>
  <si>
    <t>Z-10</t>
  </si>
  <si>
    <t>Z-13,Z-14,Z-15</t>
  </si>
  <si>
    <t>VG-13,VG-5,VG-14</t>
  </si>
  <si>
    <t>VG-13,VG-14,VG-15</t>
  </si>
  <si>
    <t>VG.13,VG-5,VG-14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</si>
</sst>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zeth Gabriela Gasca Quimbayo" id="{09D60791-6D70-4191-8B8F-EF03871DBEFD}" userId="S::u20182174028@usco.edu.co::6f0f59a7-49b8-4c6b-848b-e86c867f51fd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0-08T02:48:47.69" personId="{09D60791-6D70-4191-8B8F-EF03871DBEFD}" id="{6FDB36F0-F974-4EBF-B623-A5856D50DD77}">
    <text xml:space="preserve">Sirve para organizar las barras por etapas o partes del proyecto. Además, permite que el algoritmo trabaje más rápido agrupando por diámetro.
Ejemplo:
Todas las barras #4 para la losa pueden ir en el grupo 1, y las #5 para columnas en el grupo 2.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B0BA-FD72-445B-83B4-4AB92CCF4D1C}">
  <dimension ref="A1:G143"/>
  <sheetViews>
    <sheetView tabSelected="1" view="pageBreakPreview" zoomScaleNormal="100" zoomScaleSheetLayoutView="100" workbookViewId="0">
      <pane ySplit="1" topLeftCell="A2" activePane="bottomLeft" state="frozen"/>
      <selection pane="bottomLeft" activeCell="F1" sqref="F1"/>
    </sheetView>
  </sheetViews>
  <sheetFormatPr baseColWidth="10" defaultRowHeight="14.4" x14ac:dyDescent="0.3"/>
  <cols>
    <col min="2" max="2" width="21.21875" customWidth="1"/>
    <col min="3" max="3" width="14.33203125" customWidth="1"/>
    <col min="4" max="4" width="17.88671875" customWidth="1"/>
    <col min="6" max="6" width="20.21875" customWidth="1"/>
    <col min="7" max="7" width="16.88671875" customWidth="1"/>
  </cols>
  <sheetData>
    <row r="1" spans="1:7" x14ac:dyDescent="0.3">
      <c r="A1" s="2" t="s">
        <v>8</v>
      </c>
      <c r="B1" s="2" t="s">
        <v>5</v>
      </c>
      <c r="C1" s="2" t="s">
        <v>1</v>
      </c>
      <c r="D1" s="2" t="s">
        <v>2</v>
      </c>
      <c r="E1" s="2" t="s">
        <v>0</v>
      </c>
      <c r="F1" s="2" t="s">
        <v>9</v>
      </c>
      <c r="G1" s="2" t="s">
        <v>6</v>
      </c>
    </row>
    <row r="2" spans="1:7" x14ac:dyDescent="0.3">
      <c r="A2" s="1">
        <v>1</v>
      </c>
      <c r="B2" s="1" t="s">
        <v>22</v>
      </c>
      <c r="C2" s="1" t="s">
        <v>13</v>
      </c>
      <c r="D2" s="1">
        <v>12</v>
      </c>
      <c r="E2" s="1">
        <v>192</v>
      </c>
      <c r="F2" s="1">
        <v>2</v>
      </c>
      <c r="G2" s="1">
        <f>(VLOOKUP(C2,TablaBarras!$A$2:$C$13,3,FALSE))*D2*E2</f>
        <v>1290.2400000000002</v>
      </c>
    </row>
    <row r="3" spans="1:7" x14ac:dyDescent="0.3">
      <c r="A3" s="1">
        <v>2</v>
      </c>
      <c r="B3" s="1" t="s">
        <v>22</v>
      </c>
      <c r="C3" s="1" t="s">
        <v>13</v>
      </c>
      <c r="D3" s="1">
        <v>9</v>
      </c>
      <c r="E3" s="1">
        <v>32</v>
      </c>
      <c r="F3" s="1">
        <v>1</v>
      </c>
      <c r="G3" s="1">
        <f>(VLOOKUP(C3,TablaBarras!$A$2:$C$13,3,FALSE))*D3*E3</f>
        <v>161.28000000000003</v>
      </c>
    </row>
    <row r="4" spans="1:7" x14ac:dyDescent="0.3">
      <c r="A4" s="1">
        <v>3</v>
      </c>
      <c r="B4" s="1" t="s">
        <v>25</v>
      </c>
      <c r="C4" s="1" t="s">
        <v>13</v>
      </c>
      <c r="D4" s="1">
        <v>6.52</v>
      </c>
      <c r="E4" s="1">
        <v>400</v>
      </c>
      <c r="F4" s="1">
        <v>2</v>
      </c>
      <c r="G4" s="1">
        <f>(VLOOKUP(C4,TablaBarras!$A$2:$C$13,3,FALSE))*D4*E4</f>
        <v>1460.48</v>
      </c>
    </row>
    <row r="5" spans="1:7" x14ac:dyDescent="0.3">
      <c r="A5" s="1">
        <v>4</v>
      </c>
      <c r="B5" s="1" t="s">
        <v>22</v>
      </c>
      <c r="C5" s="1" t="s">
        <v>13</v>
      </c>
      <c r="D5" s="1">
        <v>6</v>
      </c>
      <c r="E5" s="1">
        <v>64</v>
      </c>
      <c r="F5" s="1">
        <v>1</v>
      </c>
      <c r="G5" s="1">
        <f>(VLOOKUP(C5,TablaBarras!$A$2:$C$13,3,FALSE))*D5*E5</f>
        <v>215.04000000000002</v>
      </c>
    </row>
    <row r="6" spans="1:7" x14ac:dyDescent="0.3">
      <c r="A6" s="1">
        <v>5</v>
      </c>
      <c r="B6" s="1" t="s">
        <v>26</v>
      </c>
      <c r="C6" s="1" t="s">
        <v>13</v>
      </c>
      <c r="D6" s="1">
        <v>5.92</v>
      </c>
      <c r="E6" s="1">
        <v>800</v>
      </c>
      <c r="F6" s="1">
        <v>2</v>
      </c>
      <c r="G6" s="1">
        <f>(VLOOKUP(C6,TablaBarras!$A$2:$C$13,3,FALSE))*D6*E6</f>
        <v>2652.1600000000003</v>
      </c>
    </row>
    <row r="7" spans="1:7" x14ac:dyDescent="0.3">
      <c r="A7" s="1">
        <v>6</v>
      </c>
      <c r="B7" s="1" t="s">
        <v>23</v>
      </c>
      <c r="C7" s="1" t="s">
        <v>13</v>
      </c>
      <c r="D7" s="1">
        <v>5.77</v>
      </c>
      <c r="E7" s="1">
        <v>400</v>
      </c>
      <c r="F7" s="1">
        <v>2</v>
      </c>
      <c r="G7" s="1">
        <f>(VLOOKUP(C7,TablaBarras!$A$2:$C$13,3,FALSE))*D7*E7</f>
        <v>1292.48</v>
      </c>
    </row>
    <row r="8" spans="1:7" x14ac:dyDescent="0.3">
      <c r="A8" s="1">
        <v>7</v>
      </c>
      <c r="B8" s="1" t="s">
        <v>24</v>
      </c>
      <c r="C8" s="1" t="s">
        <v>13</v>
      </c>
      <c r="D8" s="1">
        <v>4.5199999999999996</v>
      </c>
      <c r="E8" s="1">
        <v>400</v>
      </c>
      <c r="F8" s="1">
        <v>2</v>
      </c>
      <c r="G8" s="1">
        <f>(VLOOKUP(C8,TablaBarras!$A$2:$C$13,3,FALSE))*D8*E8</f>
        <v>1012.48</v>
      </c>
    </row>
    <row r="9" spans="1:7" x14ac:dyDescent="0.3">
      <c r="A9" s="1">
        <v>8</v>
      </c>
      <c r="B9" s="1" t="s">
        <v>27</v>
      </c>
      <c r="C9" s="1" t="s">
        <v>13</v>
      </c>
      <c r="D9" s="1">
        <v>2.5299999999999998</v>
      </c>
      <c r="E9" s="1">
        <v>400</v>
      </c>
      <c r="F9" s="1">
        <v>2</v>
      </c>
      <c r="G9" s="1">
        <f>(VLOOKUP(C9,TablaBarras!$A$2:$C$13,3,FALSE))*D9*E9</f>
        <v>566.72</v>
      </c>
    </row>
    <row r="10" spans="1:7" x14ac:dyDescent="0.3">
      <c r="A10" s="1">
        <v>9</v>
      </c>
      <c r="B10" s="1" t="s">
        <v>28</v>
      </c>
      <c r="C10" s="1" t="s">
        <v>13</v>
      </c>
      <c r="D10" s="1">
        <v>2.48</v>
      </c>
      <c r="E10" s="1">
        <v>4978</v>
      </c>
      <c r="F10" s="1">
        <v>4</v>
      </c>
      <c r="G10" s="1">
        <f>(VLOOKUP(C10,TablaBarras!$A$2:$C$13,3,FALSE))*D10*E10</f>
        <v>6913.4463999999998</v>
      </c>
    </row>
    <row r="11" spans="1:7" x14ac:dyDescent="0.3">
      <c r="A11" s="1">
        <v>10</v>
      </c>
      <c r="B11" s="1" t="s">
        <v>29</v>
      </c>
      <c r="C11" s="1" t="s">
        <v>13</v>
      </c>
      <c r="D11" s="1">
        <v>2.004</v>
      </c>
      <c r="E11" s="1">
        <v>1702</v>
      </c>
      <c r="F11" s="1">
        <v>3</v>
      </c>
      <c r="G11" s="1">
        <f>(VLOOKUP(C11,TablaBarras!$A$2:$C$13,3,FALSE))*D11*E11</f>
        <v>1910.0524800000003</v>
      </c>
    </row>
    <row r="12" spans="1:7" x14ac:dyDescent="0.3">
      <c r="A12" s="1">
        <v>11</v>
      </c>
      <c r="B12" s="1" t="s">
        <v>30</v>
      </c>
      <c r="C12" s="1" t="s">
        <v>13</v>
      </c>
      <c r="D12" s="1">
        <v>1.7</v>
      </c>
      <c r="E12" s="1">
        <v>1987</v>
      </c>
      <c r="F12" s="1">
        <v>3</v>
      </c>
      <c r="G12" s="1">
        <f>(VLOOKUP(C12,TablaBarras!$A$2:$C$13,3,FALSE))*D12*E12</f>
        <v>1891.624</v>
      </c>
    </row>
    <row r="13" spans="1:7" x14ac:dyDescent="0.3">
      <c r="A13" s="1">
        <v>12</v>
      </c>
      <c r="B13" s="1" t="s">
        <v>31</v>
      </c>
      <c r="C13" s="1" t="s">
        <v>13</v>
      </c>
      <c r="D13" s="1">
        <v>1.28</v>
      </c>
      <c r="E13" s="1">
        <v>16643</v>
      </c>
      <c r="F13" s="1">
        <v>5</v>
      </c>
      <c r="G13" s="1">
        <f>(VLOOKUP(C13,TablaBarras!$A$2:$C$13,3,FALSE))*D13*E13</f>
        <v>11929.702400000002</v>
      </c>
    </row>
    <row r="14" spans="1:7" x14ac:dyDescent="0.3">
      <c r="A14" s="1">
        <v>13</v>
      </c>
      <c r="B14" s="1" t="s">
        <v>31</v>
      </c>
      <c r="C14" s="1" t="s">
        <v>13</v>
      </c>
      <c r="D14" s="1">
        <v>0.98</v>
      </c>
      <c r="E14" s="1">
        <v>1138</v>
      </c>
      <c r="F14" s="1">
        <v>3</v>
      </c>
      <c r="G14" s="1">
        <f>(VLOOKUP(C14,TablaBarras!$A$2:$C$13,3,FALSE))*D14*E14</f>
        <v>624.53440000000012</v>
      </c>
    </row>
    <row r="15" spans="1:7" x14ac:dyDescent="0.3">
      <c r="A15" s="1">
        <v>14</v>
      </c>
      <c r="B15" s="1" t="s">
        <v>32</v>
      </c>
      <c r="C15" s="1" t="s">
        <v>13</v>
      </c>
      <c r="D15" s="1">
        <v>0.94</v>
      </c>
      <c r="E15" s="1">
        <v>8</v>
      </c>
      <c r="F15" s="1">
        <v>1</v>
      </c>
      <c r="G15" s="1">
        <f>(VLOOKUP(C15,TablaBarras!$A$2:$C$13,3,FALSE))*D15*E15</f>
        <v>4.2111999999999998</v>
      </c>
    </row>
    <row r="16" spans="1:7" x14ac:dyDescent="0.3">
      <c r="A16" s="1">
        <v>15</v>
      </c>
      <c r="B16" s="1" t="s">
        <v>28</v>
      </c>
      <c r="C16" s="1" t="s">
        <v>13</v>
      </c>
      <c r="D16" s="1">
        <v>0.93</v>
      </c>
      <c r="E16" s="1">
        <v>4978</v>
      </c>
      <c r="F16" s="1">
        <v>4</v>
      </c>
      <c r="G16" s="1">
        <f>(VLOOKUP(C16,TablaBarras!$A$2:$C$13,3,FALSE))*D16*E16</f>
        <v>2592.5424000000003</v>
      </c>
    </row>
    <row r="17" spans="1:7" x14ac:dyDescent="0.3">
      <c r="A17" s="1">
        <v>16</v>
      </c>
      <c r="B17" s="1" t="s">
        <v>28</v>
      </c>
      <c r="C17" s="1" t="s">
        <v>13</v>
      </c>
      <c r="D17" s="1">
        <v>0.63</v>
      </c>
      <c r="E17" s="1">
        <v>4978</v>
      </c>
      <c r="F17" s="1">
        <v>4</v>
      </c>
      <c r="G17" s="1">
        <f>(VLOOKUP(C17,TablaBarras!$A$2:$C$13,3,FALSE))*D17*E17</f>
        <v>1756.2384000000002</v>
      </c>
    </row>
    <row r="18" spans="1:7" x14ac:dyDescent="0.3">
      <c r="A18" s="1">
        <v>17</v>
      </c>
      <c r="B18" s="1" t="s">
        <v>33</v>
      </c>
      <c r="C18" s="1" t="s">
        <v>13</v>
      </c>
      <c r="D18" s="1">
        <v>0.37</v>
      </c>
      <c r="E18" s="1">
        <v>19400</v>
      </c>
      <c r="F18" s="1">
        <v>5</v>
      </c>
      <c r="G18" s="1">
        <f>(VLOOKUP(C18,TablaBarras!$A$2:$C$13,3,FALSE))*D18*E18</f>
        <v>4019.6800000000003</v>
      </c>
    </row>
    <row r="19" spans="1:7" x14ac:dyDescent="0.3">
      <c r="A19" s="1">
        <v>18</v>
      </c>
      <c r="B19" s="1" t="s">
        <v>30</v>
      </c>
      <c r="C19" s="1" t="s">
        <v>10</v>
      </c>
      <c r="D19" s="1">
        <v>9</v>
      </c>
      <c r="E19" s="1">
        <v>24</v>
      </c>
      <c r="F19" s="1">
        <v>6</v>
      </c>
      <c r="G19" s="1">
        <f>(VLOOKUP(C19,TablaBarras!$A$2:$C$13,3,FALSE))*D19*E19</f>
        <v>214.70400000000001</v>
      </c>
    </row>
    <row r="20" spans="1:7" x14ac:dyDescent="0.3">
      <c r="A20" s="1">
        <v>19</v>
      </c>
      <c r="B20" s="1" t="s">
        <v>30</v>
      </c>
      <c r="C20" s="1" t="s">
        <v>10</v>
      </c>
      <c r="D20" s="1">
        <v>9</v>
      </c>
      <c r="E20" s="1">
        <v>9</v>
      </c>
      <c r="F20" s="1">
        <v>6</v>
      </c>
      <c r="G20" s="1">
        <f>(VLOOKUP(C20,TablaBarras!$A$2:$C$13,3,FALSE))*D20*E20</f>
        <v>80.513999999999996</v>
      </c>
    </row>
    <row r="21" spans="1:7" x14ac:dyDescent="0.3">
      <c r="A21" s="1">
        <v>20</v>
      </c>
      <c r="B21" s="1" t="s">
        <v>34</v>
      </c>
      <c r="C21" s="1" t="s">
        <v>10</v>
      </c>
      <c r="D21" s="1">
        <v>7</v>
      </c>
      <c r="E21" s="1">
        <v>3</v>
      </c>
      <c r="F21" s="1">
        <v>6</v>
      </c>
      <c r="G21" s="1">
        <f>(VLOOKUP(C21,TablaBarras!$A$2:$C$13,3,FALSE))*D21*E21</f>
        <v>20.874000000000002</v>
      </c>
    </row>
    <row r="22" spans="1:7" x14ac:dyDescent="0.3">
      <c r="A22" s="1">
        <v>21</v>
      </c>
      <c r="B22" s="1" t="s">
        <v>35</v>
      </c>
      <c r="C22" s="1" t="s">
        <v>10</v>
      </c>
      <c r="D22" s="1">
        <v>6.5</v>
      </c>
      <c r="E22" s="1">
        <v>6</v>
      </c>
      <c r="F22" s="1">
        <v>6</v>
      </c>
      <c r="G22" s="1">
        <f>(VLOOKUP(C22,TablaBarras!$A$2:$C$13,3,FALSE))*D22*E22</f>
        <v>38.766000000000005</v>
      </c>
    </row>
    <row r="23" spans="1:7" x14ac:dyDescent="0.3">
      <c r="A23" s="1">
        <v>22</v>
      </c>
      <c r="B23" s="1" t="s">
        <v>34</v>
      </c>
      <c r="C23" s="1" t="s">
        <v>10</v>
      </c>
      <c r="D23" s="1">
        <v>6.5</v>
      </c>
      <c r="E23" s="1">
        <v>3</v>
      </c>
      <c r="F23" s="1">
        <v>6</v>
      </c>
      <c r="G23" s="1">
        <f>(VLOOKUP(C23,TablaBarras!$A$2:$C$13,3,FALSE))*D23*E23</f>
        <v>19.383000000000003</v>
      </c>
    </row>
    <row r="24" spans="1:7" x14ac:dyDescent="0.3">
      <c r="A24" s="1">
        <v>23</v>
      </c>
      <c r="B24" s="1" t="s">
        <v>30</v>
      </c>
      <c r="C24" s="1" t="s">
        <v>10</v>
      </c>
      <c r="D24" s="1">
        <v>6</v>
      </c>
      <c r="E24" s="1">
        <v>49</v>
      </c>
      <c r="F24" s="1">
        <v>6</v>
      </c>
      <c r="G24" s="1">
        <f>(VLOOKUP(C24,TablaBarras!$A$2:$C$13,3,FALSE))*D24*E24</f>
        <v>292.23600000000005</v>
      </c>
    </row>
    <row r="25" spans="1:7" x14ac:dyDescent="0.3">
      <c r="A25" s="1">
        <v>24</v>
      </c>
      <c r="B25" s="1" t="s">
        <v>30</v>
      </c>
      <c r="C25" s="1" t="s">
        <v>10</v>
      </c>
      <c r="D25" s="1">
        <v>6</v>
      </c>
      <c r="E25" s="1">
        <v>65</v>
      </c>
      <c r="F25" s="1">
        <v>6</v>
      </c>
      <c r="G25" s="1">
        <f>(VLOOKUP(C25,TablaBarras!$A$2:$C$13,3,FALSE))*D25*E25</f>
        <v>387.66</v>
      </c>
    </row>
    <row r="26" spans="1:7" x14ac:dyDescent="0.3">
      <c r="A26" s="1">
        <v>25</v>
      </c>
      <c r="B26" s="1" t="s">
        <v>36</v>
      </c>
      <c r="C26" s="1" t="s">
        <v>10</v>
      </c>
      <c r="D26" s="1">
        <v>6</v>
      </c>
      <c r="E26" s="1">
        <v>1</v>
      </c>
      <c r="F26" s="1">
        <v>6</v>
      </c>
      <c r="G26" s="1">
        <f>(VLOOKUP(C26,TablaBarras!$A$2:$C$13,3,FALSE))*D26*E26</f>
        <v>5.9640000000000004</v>
      </c>
    </row>
    <row r="27" spans="1:7" x14ac:dyDescent="0.3">
      <c r="A27" s="1">
        <v>26</v>
      </c>
      <c r="B27" s="1" t="s">
        <v>22</v>
      </c>
      <c r="C27" s="1" t="s">
        <v>10</v>
      </c>
      <c r="D27" s="1">
        <v>4</v>
      </c>
      <c r="E27" s="1">
        <v>652</v>
      </c>
      <c r="F27" s="1">
        <v>7</v>
      </c>
      <c r="G27" s="1">
        <f>(VLOOKUP(C27,TablaBarras!$A$2:$C$13,3,FALSE))*D27*E27</f>
        <v>2592.3519999999999</v>
      </c>
    </row>
    <row r="28" spans="1:7" x14ac:dyDescent="0.3">
      <c r="A28" s="1">
        <v>27</v>
      </c>
      <c r="B28" s="1" t="s">
        <v>37</v>
      </c>
      <c r="C28" s="1" t="s">
        <v>10</v>
      </c>
      <c r="D28" s="1">
        <v>3.8</v>
      </c>
      <c r="E28" s="1">
        <v>2</v>
      </c>
      <c r="F28" s="1">
        <v>6</v>
      </c>
      <c r="G28" s="1">
        <f>(VLOOKUP(C28,TablaBarras!$A$2:$C$13,3,FALSE))*D28*E28</f>
        <v>7.5543999999999993</v>
      </c>
    </row>
    <row r="29" spans="1:7" x14ac:dyDescent="0.3">
      <c r="A29" s="1">
        <v>28</v>
      </c>
      <c r="B29" s="1" t="s">
        <v>38</v>
      </c>
      <c r="C29" s="1" t="s">
        <v>10</v>
      </c>
      <c r="D29" s="1">
        <v>3.4</v>
      </c>
      <c r="E29" s="1">
        <v>3</v>
      </c>
      <c r="F29" s="1">
        <v>6</v>
      </c>
      <c r="G29" s="1">
        <f>(VLOOKUP(C29,TablaBarras!$A$2:$C$13,3,FALSE))*D29*E29</f>
        <v>10.1388</v>
      </c>
    </row>
    <row r="30" spans="1:7" x14ac:dyDescent="0.3">
      <c r="A30" s="1">
        <v>29</v>
      </c>
      <c r="B30" s="1" t="s">
        <v>39</v>
      </c>
      <c r="C30" s="1" t="s">
        <v>10</v>
      </c>
      <c r="D30" s="1">
        <v>3</v>
      </c>
      <c r="E30" s="1">
        <v>3</v>
      </c>
      <c r="F30" s="1">
        <v>6</v>
      </c>
      <c r="G30" s="1">
        <f>(VLOOKUP(C30,TablaBarras!$A$2:$C$13,3,FALSE))*D30*E30</f>
        <v>8.9460000000000015</v>
      </c>
    </row>
    <row r="31" spans="1:7" x14ac:dyDescent="0.3">
      <c r="A31" s="1">
        <v>30</v>
      </c>
      <c r="B31" s="1" t="s">
        <v>40</v>
      </c>
      <c r="C31" s="1" t="s">
        <v>10</v>
      </c>
      <c r="D31" s="1">
        <v>2.8</v>
      </c>
      <c r="E31" s="1">
        <v>2</v>
      </c>
      <c r="F31" s="1">
        <v>6</v>
      </c>
      <c r="G31" s="1">
        <f>(VLOOKUP(C31,TablaBarras!$A$2:$C$13,3,FALSE))*D31*E31</f>
        <v>5.5663999999999998</v>
      </c>
    </row>
    <row r="32" spans="1:7" x14ac:dyDescent="0.3">
      <c r="A32" s="1">
        <v>31</v>
      </c>
      <c r="B32" s="1" t="s">
        <v>41</v>
      </c>
      <c r="C32" s="1" t="s">
        <v>10</v>
      </c>
      <c r="D32" s="1">
        <v>2.7</v>
      </c>
      <c r="E32" s="1">
        <v>2</v>
      </c>
      <c r="F32" s="1">
        <v>6</v>
      </c>
      <c r="G32" s="1">
        <f>(VLOOKUP(C32,TablaBarras!$A$2:$C$13,3,FALSE))*D32*E32</f>
        <v>5.3676000000000004</v>
      </c>
    </row>
    <row r="33" spans="1:7" x14ac:dyDescent="0.3">
      <c r="A33" s="1">
        <v>32</v>
      </c>
      <c r="B33" s="1" t="s">
        <v>42</v>
      </c>
      <c r="C33" s="1" t="s">
        <v>10</v>
      </c>
      <c r="D33" s="1">
        <v>2.4</v>
      </c>
      <c r="E33" s="1">
        <v>2</v>
      </c>
      <c r="F33" s="1">
        <v>6</v>
      </c>
      <c r="G33" s="1">
        <f>(VLOOKUP(C33,TablaBarras!$A$2:$C$13,3,FALSE))*D33*E33</f>
        <v>4.7711999999999994</v>
      </c>
    </row>
    <row r="34" spans="1:7" x14ac:dyDescent="0.3">
      <c r="A34" s="1">
        <v>33</v>
      </c>
      <c r="B34" s="1" t="s">
        <v>45</v>
      </c>
      <c r="C34" s="1" t="s">
        <v>10</v>
      </c>
      <c r="D34" s="1">
        <v>2.35</v>
      </c>
      <c r="E34" s="1">
        <v>24</v>
      </c>
      <c r="F34" s="1">
        <v>6</v>
      </c>
      <c r="G34" s="1">
        <f>(VLOOKUP(C34,TablaBarras!$A$2:$C$13,3,FALSE))*D34*E34</f>
        <v>56.061599999999999</v>
      </c>
    </row>
    <row r="35" spans="1:7" x14ac:dyDescent="0.3">
      <c r="A35" s="1">
        <v>34</v>
      </c>
      <c r="B35" s="1" t="s">
        <v>43</v>
      </c>
      <c r="C35" s="1" t="s">
        <v>10</v>
      </c>
      <c r="D35" s="1">
        <v>1.8</v>
      </c>
      <c r="E35" s="1">
        <v>4</v>
      </c>
      <c r="F35" s="1">
        <v>6</v>
      </c>
      <c r="G35" s="1">
        <f>(VLOOKUP(C35,TablaBarras!$A$2:$C$13,3,FALSE))*D35*E35</f>
        <v>7.1568000000000005</v>
      </c>
    </row>
    <row r="36" spans="1:7" x14ac:dyDescent="0.3">
      <c r="A36" s="1">
        <v>35</v>
      </c>
      <c r="B36" s="1" t="s">
        <v>44</v>
      </c>
      <c r="C36" s="1" t="s">
        <v>10</v>
      </c>
      <c r="D36" s="1">
        <v>1.05</v>
      </c>
      <c r="E36" s="1">
        <v>10</v>
      </c>
      <c r="F36" s="1">
        <v>6</v>
      </c>
      <c r="G36" s="1">
        <f>(VLOOKUP(C36,TablaBarras!$A$2:$C$13,3,FALSE))*D36*E36</f>
        <v>10.437000000000001</v>
      </c>
    </row>
    <row r="37" spans="1:7" x14ac:dyDescent="0.3">
      <c r="A37" s="1">
        <v>36</v>
      </c>
      <c r="B37" s="1" t="s">
        <v>46</v>
      </c>
      <c r="C37" s="1" t="s">
        <v>11</v>
      </c>
      <c r="D37" s="1">
        <v>12</v>
      </c>
      <c r="E37" s="1">
        <v>3</v>
      </c>
      <c r="F37" s="1">
        <v>8</v>
      </c>
      <c r="G37" s="1">
        <f>(VLOOKUP(C37,TablaBarras!$A$2:$C$13,3,FALSE))*D37*E37</f>
        <v>55.872000000000007</v>
      </c>
    </row>
    <row r="38" spans="1:7" x14ac:dyDescent="0.3">
      <c r="A38" s="1">
        <v>37</v>
      </c>
      <c r="B38" s="1" t="s">
        <v>47</v>
      </c>
      <c r="C38" s="1" t="s">
        <v>11</v>
      </c>
      <c r="D38" s="1">
        <v>12</v>
      </c>
      <c r="E38" s="1">
        <v>6</v>
      </c>
      <c r="F38" s="1">
        <v>8</v>
      </c>
      <c r="G38" s="1">
        <f>(VLOOKUP(C38,TablaBarras!$A$2:$C$13,3,FALSE))*D38*E38</f>
        <v>111.74400000000001</v>
      </c>
    </row>
    <row r="39" spans="1:7" x14ac:dyDescent="0.3">
      <c r="A39" s="1">
        <v>38</v>
      </c>
      <c r="B39" s="1" t="s">
        <v>31</v>
      </c>
      <c r="C39" s="1" t="s">
        <v>11</v>
      </c>
      <c r="D39" s="1">
        <v>9</v>
      </c>
      <c r="E39" s="1">
        <v>350</v>
      </c>
      <c r="F39" s="1">
        <v>9</v>
      </c>
      <c r="G39" s="1">
        <f>(VLOOKUP(C39,TablaBarras!$A$2:$C$13,3,FALSE))*D39*E39</f>
        <v>4888.8</v>
      </c>
    </row>
    <row r="40" spans="1:7" x14ac:dyDescent="0.3">
      <c r="A40" s="1">
        <v>39</v>
      </c>
      <c r="B40" s="1" t="s">
        <v>31</v>
      </c>
      <c r="C40" s="1" t="s">
        <v>11</v>
      </c>
      <c r="D40" s="1">
        <v>9</v>
      </c>
      <c r="E40" s="1">
        <v>539</v>
      </c>
      <c r="F40" s="1">
        <v>9</v>
      </c>
      <c r="G40" s="1">
        <f>(VLOOKUP(C40,TablaBarras!$A$2:$C$13,3,FALSE))*D40*E40</f>
        <v>7528.7520000000004</v>
      </c>
    </row>
    <row r="41" spans="1:7" x14ac:dyDescent="0.3">
      <c r="A41" s="1">
        <v>40</v>
      </c>
      <c r="B41" s="1" t="s">
        <v>48</v>
      </c>
      <c r="C41" s="1" t="s">
        <v>11</v>
      </c>
      <c r="D41" s="1">
        <v>9</v>
      </c>
      <c r="E41" s="1">
        <v>2</v>
      </c>
      <c r="F41" s="1">
        <v>8</v>
      </c>
      <c r="G41" s="1">
        <f>(VLOOKUP(C41,TablaBarras!$A$2:$C$13,3,FALSE))*D41*E41</f>
        <v>27.936</v>
      </c>
    </row>
    <row r="42" spans="1:7" x14ac:dyDescent="0.3">
      <c r="A42" s="1">
        <v>41</v>
      </c>
      <c r="B42" s="1" t="s">
        <v>49</v>
      </c>
      <c r="C42" s="1" t="s">
        <v>11</v>
      </c>
      <c r="D42" s="1">
        <v>8.75</v>
      </c>
      <c r="E42" s="1">
        <v>12</v>
      </c>
      <c r="F42" s="1">
        <v>8</v>
      </c>
      <c r="G42" s="1">
        <f>(VLOOKUP(C42,TablaBarras!$A$2:$C$13,3,FALSE))*D42*E42</f>
        <v>162.96</v>
      </c>
    </row>
    <row r="43" spans="1:7" x14ac:dyDescent="0.3">
      <c r="A43" s="1">
        <v>42</v>
      </c>
      <c r="B43" s="1" t="s">
        <v>50</v>
      </c>
      <c r="C43" s="1" t="s">
        <v>11</v>
      </c>
      <c r="D43" s="1">
        <v>8.5</v>
      </c>
      <c r="E43" s="1">
        <v>6</v>
      </c>
      <c r="F43" s="1">
        <v>8</v>
      </c>
      <c r="G43" s="1">
        <f>(VLOOKUP(C43,TablaBarras!$A$2:$C$13,3,FALSE))*D43*E43</f>
        <v>79.152000000000001</v>
      </c>
    </row>
    <row r="44" spans="1:7" x14ac:dyDescent="0.3">
      <c r="A44" s="1">
        <v>43</v>
      </c>
      <c r="B44" s="1" t="s">
        <v>51</v>
      </c>
      <c r="C44" s="1" t="s">
        <v>11</v>
      </c>
      <c r="D44" s="1">
        <v>8.5</v>
      </c>
      <c r="E44" s="1">
        <v>3</v>
      </c>
      <c r="F44" s="1">
        <v>8</v>
      </c>
      <c r="G44" s="1">
        <f>(VLOOKUP(C44,TablaBarras!$A$2:$C$13,3,FALSE))*D44*E44</f>
        <v>39.576000000000001</v>
      </c>
    </row>
    <row r="45" spans="1:7" x14ac:dyDescent="0.3">
      <c r="A45" s="1">
        <v>44</v>
      </c>
      <c r="B45" s="1" t="s">
        <v>52</v>
      </c>
      <c r="C45" s="1" t="s">
        <v>11</v>
      </c>
      <c r="D45" s="1">
        <v>8.35</v>
      </c>
      <c r="E45" s="1">
        <v>36</v>
      </c>
      <c r="F45" s="1">
        <v>8</v>
      </c>
      <c r="G45" s="1">
        <f>(VLOOKUP(C45,TablaBarras!$A$2:$C$13,3,FALSE))*D45*E45</f>
        <v>466.53119999999996</v>
      </c>
    </row>
    <row r="46" spans="1:7" x14ac:dyDescent="0.3">
      <c r="A46" s="1">
        <v>45</v>
      </c>
      <c r="B46" s="1" t="s">
        <v>51</v>
      </c>
      <c r="C46" s="1" t="s">
        <v>11</v>
      </c>
      <c r="D46" s="1">
        <v>8</v>
      </c>
      <c r="E46" s="1">
        <v>3</v>
      </c>
      <c r="F46" s="1">
        <v>8</v>
      </c>
      <c r="G46" s="1">
        <f>(VLOOKUP(C46,TablaBarras!$A$2:$C$13,3,FALSE))*D46*E46</f>
        <v>37.248000000000005</v>
      </c>
    </row>
    <row r="47" spans="1:7" x14ac:dyDescent="0.3">
      <c r="A47" s="1">
        <v>46</v>
      </c>
      <c r="B47" s="1" t="s">
        <v>31</v>
      </c>
      <c r="C47" s="1" t="s">
        <v>11</v>
      </c>
      <c r="D47" s="1">
        <v>7.5</v>
      </c>
      <c r="E47" s="1">
        <v>31</v>
      </c>
      <c r="F47" s="1">
        <v>8</v>
      </c>
      <c r="G47" s="1">
        <f>(VLOOKUP(C47,TablaBarras!$A$2:$C$13,3,FALSE))*D47*E47</f>
        <v>360.84000000000003</v>
      </c>
    </row>
    <row r="48" spans="1:7" x14ac:dyDescent="0.3">
      <c r="A48" s="1">
        <v>47</v>
      </c>
      <c r="B48" s="1" t="s">
        <v>53</v>
      </c>
      <c r="C48" s="1" t="s">
        <v>11</v>
      </c>
      <c r="D48" s="1">
        <v>7.5</v>
      </c>
      <c r="E48" s="1">
        <v>13</v>
      </c>
      <c r="F48" s="1">
        <v>8</v>
      </c>
      <c r="G48" s="1">
        <f>(VLOOKUP(C48,TablaBarras!$A$2:$C$13,3,FALSE))*D48*E48</f>
        <v>151.32</v>
      </c>
    </row>
    <row r="49" spans="1:7" x14ac:dyDescent="0.3">
      <c r="A49" s="1">
        <v>48</v>
      </c>
      <c r="B49" s="1" t="s">
        <v>31</v>
      </c>
      <c r="C49" s="1" t="s">
        <v>11</v>
      </c>
      <c r="D49" s="1">
        <v>7.5</v>
      </c>
      <c r="E49" s="1">
        <v>16</v>
      </c>
      <c r="F49" s="1">
        <v>8</v>
      </c>
      <c r="G49" s="1">
        <f>(VLOOKUP(C49,TablaBarras!$A$2:$C$13,3,FALSE))*D49*E49</f>
        <v>186.24</v>
      </c>
    </row>
    <row r="50" spans="1:7" x14ac:dyDescent="0.3">
      <c r="A50" s="1">
        <v>49</v>
      </c>
      <c r="B50" s="1" t="s">
        <v>48</v>
      </c>
      <c r="C50" s="1" t="s">
        <v>11</v>
      </c>
      <c r="D50" s="1">
        <v>7.4</v>
      </c>
      <c r="E50" s="1">
        <v>10</v>
      </c>
      <c r="F50" s="1">
        <v>8</v>
      </c>
      <c r="G50" s="1">
        <f>(VLOOKUP(C50,TablaBarras!$A$2:$C$13,3,FALSE))*D50*E50</f>
        <v>114.84800000000001</v>
      </c>
    </row>
    <row r="51" spans="1:7" x14ac:dyDescent="0.3">
      <c r="A51" s="1">
        <v>50</v>
      </c>
      <c r="B51" s="1" t="s">
        <v>54</v>
      </c>
      <c r="C51" s="1" t="s">
        <v>11</v>
      </c>
      <c r="D51" s="1">
        <v>7</v>
      </c>
      <c r="E51" s="1">
        <v>9</v>
      </c>
      <c r="F51" s="1">
        <v>8</v>
      </c>
      <c r="G51" s="1">
        <f>(VLOOKUP(C51,TablaBarras!$A$2:$C$13,3,FALSE))*D51*E51</f>
        <v>97.77600000000001</v>
      </c>
    </row>
    <row r="52" spans="1:7" x14ac:dyDescent="0.3">
      <c r="A52" s="1">
        <v>51</v>
      </c>
      <c r="B52" s="3" t="s">
        <v>31</v>
      </c>
      <c r="C52" s="1" t="s">
        <v>11</v>
      </c>
      <c r="D52" s="3">
        <v>7</v>
      </c>
      <c r="E52" s="3">
        <v>21</v>
      </c>
      <c r="F52" s="1">
        <v>8</v>
      </c>
      <c r="G52" s="1">
        <f>(VLOOKUP(C52,TablaBarras!$A$2:$C$13,3,FALSE))*D52*E52</f>
        <v>228.14400000000001</v>
      </c>
    </row>
    <row r="53" spans="1:7" x14ac:dyDescent="0.3">
      <c r="A53" s="1">
        <v>52</v>
      </c>
      <c r="B53" s="3" t="s">
        <v>31</v>
      </c>
      <c r="C53" s="1" t="s">
        <v>11</v>
      </c>
      <c r="D53" s="3">
        <v>6.75</v>
      </c>
      <c r="E53" s="3">
        <v>36</v>
      </c>
      <c r="F53" s="1">
        <v>8</v>
      </c>
      <c r="G53" s="1">
        <f>(VLOOKUP(C53,TablaBarras!$A$2:$C$13,3,FALSE))*D53*E53</f>
        <v>377.13600000000002</v>
      </c>
    </row>
    <row r="54" spans="1:7" x14ac:dyDescent="0.3">
      <c r="A54" s="1">
        <v>53</v>
      </c>
      <c r="B54" s="3" t="s">
        <v>55</v>
      </c>
      <c r="C54" s="1" t="s">
        <v>11</v>
      </c>
      <c r="D54" s="3">
        <v>6.65</v>
      </c>
      <c r="E54" s="3">
        <v>6</v>
      </c>
      <c r="F54" s="1">
        <v>8</v>
      </c>
      <c r="G54" s="1">
        <f>(VLOOKUP(C54,TablaBarras!$A$2:$C$13,3,FALSE))*D54*E54</f>
        <v>61.924800000000005</v>
      </c>
    </row>
    <row r="55" spans="1:7" x14ac:dyDescent="0.3">
      <c r="A55" s="1">
        <v>54</v>
      </c>
      <c r="B55" s="3" t="s">
        <v>31</v>
      </c>
      <c r="C55" s="1" t="s">
        <v>11</v>
      </c>
      <c r="D55" s="3">
        <v>6.5</v>
      </c>
      <c r="E55" s="3">
        <v>181</v>
      </c>
      <c r="F55" s="1">
        <v>9</v>
      </c>
      <c r="G55" s="1">
        <f>(VLOOKUP(C55,TablaBarras!$A$2:$C$13,3,FALSE))*D55*E55</f>
        <v>1825.9280000000001</v>
      </c>
    </row>
    <row r="56" spans="1:7" x14ac:dyDescent="0.3">
      <c r="A56" s="1">
        <v>55</v>
      </c>
      <c r="B56" s="3" t="s">
        <v>31</v>
      </c>
      <c r="C56" s="1" t="s">
        <v>11</v>
      </c>
      <c r="D56" s="3">
        <v>6.5</v>
      </c>
      <c r="E56" s="3">
        <v>39</v>
      </c>
      <c r="F56" s="1">
        <v>8</v>
      </c>
      <c r="G56" s="1">
        <f>(VLOOKUP(C56,TablaBarras!$A$2:$C$13,3,FALSE))*D56*E56</f>
        <v>393.43200000000002</v>
      </c>
    </row>
    <row r="57" spans="1:7" x14ac:dyDescent="0.3">
      <c r="A57" s="1">
        <v>56</v>
      </c>
      <c r="B57" s="3" t="s">
        <v>55</v>
      </c>
      <c r="C57" s="1" t="s">
        <v>11</v>
      </c>
      <c r="D57" s="3">
        <v>6.5</v>
      </c>
      <c r="E57" s="3">
        <v>30</v>
      </c>
      <c r="F57" s="1">
        <v>8</v>
      </c>
      <c r="G57" s="1">
        <f>(VLOOKUP(C57,TablaBarras!$A$2:$C$13,3,FALSE))*D57*E57</f>
        <v>302.64000000000004</v>
      </c>
    </row>
    <row r="58" spans="1:7" x14ac:dyDescent="0.3">
      <c r="A58" s="1">
        <v>57</v>
      </c>
      <c r="B58" s="3" t="s">
        <v>31</v>
      </c>
      <c r="C58" s="1" t="s">
        <v>11</v>
      </c>
      <c r="D58" s="3">
        <v>6</v>
      </c>
      <c r="E58" s="3">
        <v>391</v>
      </c>
      <c r="F58" s="1">
        <v>9</v>
      </c>
      <c r="G58" s="1">
        <f>(VLOOKUP(C58,TablaBarras!$A$2:$C$13,3,FALSE))*D58*E58</f>
        <v>3640.9920000000006</v>
      </c>
    </row>
    <row r="59" spans="1:7" x14ac:dyDescent="0.3">
      <c r="A59" s="1">
        <v>58</v>
      </c>
      <c r="B59" s="3" t="s">
        <v>31</v>
      </c>
      <c r="C59" s="1" t="s">
        <v>11</v>
      </c>
      <c r="D59" s="3">
        <v>6</v>
      </c>
      <c r="E59" s="3">
        <v>436</v>
      </c>
      <c r="F59" s="1">
        <v>9</v>
      </c>
      <c r="G59" s="1">
        <f>(VLOOKUP(C59,TablaBarras!$A$2:$C$13,3,FALSE))*D59*E59</f>
        <v>4060.0320000000006</v>
      </c>
    </row>
    <row r="60" spans="1:7" x14ac:dyDescent="0.3">
      <c r="A60" s="1">
        <v>59</v>
      </c>
      <c r="B60" s="3" t="s">
        <v>56</v>
      </c>
      <c r="C60" s="1" t="s">
        <v>11</v>
      </c>
      <c r="D60" s="3">
        <v>6</v>
      </c>
      <c r="E60" s="3">
        <v>4</v>
      </c>
      <c r="F60" s="1">
        <v>8</v>
      </c>
      <c r="G60" s="1">
        <f>(VLOOKUP(C60,TablaBarras!$A$2:$C$13,3,FALSE))*D60*E60</f>
        <v>37.248000000000005</v>
      </c>
    </row>
    <row r="61" spans="1:7" x14ac:dyDescent="0.3">
      <c r="A61" s="1">
        <v>60</v>
      </c>
      <c r="B61" s="3" t="s">
        <v>57</v>
      </c>
      <c r="C61" s="1" t="s">
        <v>11</v>
      </c>
      <c r="D61" s="3">
        <v>5.5</v>
      </c>
      <c r="E61" s="3">
        <v>15</v>
      </c>
      <c r="F61" s="1">
        <v>8</v>
      </c>
      <c r="G61" s="1">
        <f>(VLOOKUP(C61,TablaBarras!$A$2:$C$13,3,FALSE))*D61*E61</f>
        <v>128.04</v>
      </c>
    </row>
    <row r="62" spans="1:7" x14ac:dyDescent="0.3">
      <c r="A62" s="1">
        <v>61</v>
      </c>
      <c r="B62" s="3" t="s">
        <v>58</v>
      </c>
      <c r="C62" s="1" t="s">
        <v>11</v>
      </c>
      <c r="D62" s="3">
        <v>5.5</v>
      </c>
      <c r="E62" s="3">
        <v>35</v>
      </c>
      <c r="F62" s="1">
        <v>8</v>
      </c>
      <c r="G62" s="1">
        <f>(VLOOKUP(C62,TablaBarras!$A$2:$C$13,3,FALSE))*D62*E62</f>
        <v>298.76</v>
      </c>
    </row>
    <row r="63" spans="1:7" x14ac:dyDescent="0.3">
      <c r="A63" s="1">
        <v>62</v>
      </c>
      <c r="B63" s="3" t="s">
        <v>59</v>
      </c>
      <c r="C63" s="1" t="s">
        <v>11</v>
      </c>
      <c r="D63" s="3">
        <v>5.4</v>
      </c>
      <c r="E63" s="3">
        <v>7</v>
      </c>
      <c r="F63" s="1">
        <v>8</v>
      </c>
      <c r="G63" s="1">
        <f>(VLOOKUP(C63,TablaBarras!$A$2:$C$13,3,FALSE))*D63*E63</f>
        <v>58.665600000000005</v>
      </c>
    </row>
    <row r="64" spans="1:7" x14ac:dyDescent="0.3">
      <c r="A64" s="1">
        <v>63</v>
      </c>
      <c r="B64" s="3" t="s">
        <v>60</v>
      </c>
      <c r="C64" s="1" t="s">
        <v>11</v>
      </c>
      <c r="D64" s="3">
        <v>5.35</v>
      </c>
      <c r="E64" s="3">
        <v>36</v>
      </c>
      <c r="F64" s="1">
        <v>8</v>
      </c>
      <c r="G64" s="1">
        <f>(VLOOKUP(C64,TablaBarras!$A$2:$C$13,3,FALSE))*D64*E64</f>
        <v>298.91520000000003</v>
      </c>
    </row>
    <row r="65" spans="1:7" x14ac:dyDescent="0.3">
      <c r="A65" s="1">
        <v>64</v>
      </c>
      <c r="B65" s="3" t="s">
        <v>61</v>
      </c>
      <c r="C65" s="1" t="s">
        <v>11</v>
      </c>
      <c r="D65" s="3">
        <v>5.3</v>
      </c>
      <c r="E65" s="3">
        <v>36</v>
      </c>
      <c r="F65" s="1">
        <v>8</v>
      </c>
      <c r="G65" s="1">
        <f>(VLOOKUP(C65,TablaBarras!$A$2:$C$13,3,FALSE))*D65*E65</f>
        <v>296.1216</v>
      </c>
    </row>
    <row r="66" spans="1:7" x14ac:dyDescent="0.3">
      <c r="A66" s="1">
        <v>65</v>
      </c>
      <c r="B66" s="3" t="s">
        <v>62</v>
      </c>
      <c r="C66" s="1" t="s">
        <v>11</v>
      </c>
      <c r="D66" s="3">
        <v>5</v>
      </c>
      <c r="E66" s="3">
        <v>6</v>
      </c>
      <c r="F66" s="1">
        <v>8</v>
      </c>
      <c r="G66" s="1">
        <f>(VLOOKUP(C66,TablaBarras!$A$2:$C$13,3,FALSE))*D66*E66</f>
        <v>46.56</v>
      </c>
    </row>
    <row r="67" spans="1:7" x14ac:dyDescent="0.3">
      <c r="A67" s="1">
        <v>66</v>
      </c>
      <c r="B67" s="3" t="s">
        <v>63</v>
      </c>
      <c r="C67" s="1" t="s">
        <v>11</v>
      </c>
      <c r="D67" s="3">
        <v>4</v>
      </c>
      <c r="E67" s="3">
        <v>6</v>
      </c>
      <c r="F67" s="1">
        <v>8</v>
      </c>
      <c r="G67" s="1">
        <f>(VLOOKUP(C67,TablaBarras!$A$2:$C$13,3,FALSE))*D67*E67</f>
        <v>37.248000000000005</v>
      </c>
    </row>
    <row r="68" spans="1:7" x14ac:dyDescent="0.3">
      <c r="A68" s="1">
        <v>67</v>
      </c>
      <c r="B68" s="3" t="s">
        <v>64</v>
      </c>
      <c r="C68" s="1" t="s">
        <v>11</v>
      </c>
      <c r="D68" s="3">
        <v>3.8</v>
      </c>
      <c r="E68" s="3">
        <v>1</v>
      </c>
      <c r="F68" s="1">
        <v>8</v>
      </c>
      <c r="G68" s="1">
        <f>(VLOOKUP(C68,TablaBarras!$A$2:$C$13,3,FALSE))*D68*E68</f>
        <v>5.8975999999999997</v>
      </c>
    </row>
    <row r="69" spans="1:7" x14ac:dyDescent="0.3">
      <c r="A69" s="1">
        <v>68</v>
      </c>
      <c r="B69" s="3" t="s">
        <v>65</v>
      </c>
      <c r="C69" s="1" t="s">
        <v>11</v>
      </c>
      <c r="D69" s="3">
        <v>3.55</v>
      </c>
      <c r="E69" s="3">
        <v>6</v>
      </c>
      <c r="F69" s="1">
        <v>8</v>
      </c>
      <c r="G69" s="1">
        <f>(VLOOKUP(C69,TablaBarras!$A$2:$C$13,3,FALSE))*D69*E69</f>
        <v>33.057600000000001</v>
      </c>
    </row>
    <row r="70" spans="1:7" x14ac:dyDescent="0.3">
      <c r="A70" s="1">
        <v>69</v>
      </c>
      <c r="B70" s="3" t="s">
        <v>66</v>
      </c>
      <c r="C70" s="1" t="s">
        <v>11</v>
      </c>
      <c r="D70" s="3">
        <v>3.5</v>
      </c>
      <c r="E70" s="3">
        <v>1</v>
      </c>
      <c r="F70" s="1">
        <v>8</v>
      </c>
      <c r="G70" s="1">
        <f>(VLOOKUP(C70,TablaBarras!$A$2:$C$13,3,FALSE))*D70*E70</f>
        <v>5.4320000000000004</v>
      </c>
    </row>
    <row r="71" spans="1:7" x14ac:dyDescent="0.3">
      <c r="A71" s="1">
        <v>70</v>
      </c>
      <c r="B71" s="3" t="s">
        <v>67</v>
      </c>
      <c r="C71" s="1" t="s">
        <v>11</v>
      </c>
      <c r="D71" s="3">
        <v>3.5</v>
      </c>
      <c r="E71" s="3">
        <v>6</v>
      </c>
      <c r="F71" s="1">
        <v>8</v>
      </c>
      <c r="G71" s="1">
        <f>(VLOOKUP(C71,TablaBarras!$A$2:$C$13,3,FALSE))*D71*E71</f>
        <v>32.591999999999999</v>
      </c>
    </row>
    <row r="72" spans="1:7" x14ac:dyDescent="0.3">
      <c r="A72" s="1">
        <v>71</v>
      </c>
      <c r="B72" s="3" t="s">
        <v>64</v>
      </c>
      <c r="C72" s="1" t="s">
        <v>11</v>
      </c>
      <c r="D72" s="3">
        <v>3.4</v>
      </c>
      <c r="E72" s="3">
        <v>2</v>
      </c>
      <c r="F72" s="1">
        <v>8</v>
      </c>
      <c r="G72" s="1">
        <f>(VLOOKUP(C72,TablaBarras!$A$2:$C$13,3,FALSE))*D72*E72</f>
        <v>10.553599999999999</v>
      </c>
    </row>
    <row r="73" spans="1:7" x14ac:dyDescent="0.3">
      <c r="A73" s="1">
        <v>72</v>
      </c>
      <c r="B73" s="3" t="s">
        <v>68</v>
      </c>
      <c r="C73" s="1" t="s">
        <v>11</v>
      </c>
      <c r="D73" s="3">
        <v>3.4</v>
      </c>
      <c r="E73" s="3">
        <v>1</v>
      </c>
      <c r="F73" s="1">
        <v>8</v>
      </c>
      <c r="G73" s="1">
        <f>(VLOOKUP(C73,TablaBarras!$A$2:$C$13,3,FALSE))*D73*E73</f>
        <v>5.2767999999999997</v>
      </c>
    </row>
    <row r="74" spans="1:7" x14ac:dyDescent="0.3">
      <c r="A74" s="1">
        <v>73</v>
      </c>
      <c r="B74" s="3" t="s">
        <v>69</v>
      </c>
      <c r="C74" s="1" t="s">
        <v>11</v>
      </c>
      <c r="D74" s="3">
        <v>3.35</v>
      </c>
      <c r="E74" s="3">
        <v>13</v>
      </c>
      <c r="F74" s="1">
        <v>8</v>
      </c>
      <c r="G74" s="1">
        <f>(VLOOKUP(C74,TablaBarras!$A$2:$C$13,3,FALSE))*D74*E74</f>
        <v>67.589600000000004</v>
      </c>
    </row>
    <row r="75" spans="1:7" x14ac:dyDescent="0.3">
      <c r="A75" s="1">
        <v>74</v>
      </c>
      <c r="B75" s="3" t="s">
        <v>70</v>
      </c>
      <c r="C75" s="1" t="s">
        <v>11</v>
      </c>
      <c r="D75" s="3">
        <v>3.3</v>
      </c>
      <c r="E75" s="3">
        <v>6</v>
      </c>
      <c r="F75" s="1">
        <v>8</v>
      </c>
      <c r="G75" s="1">
        <f>(VLOOKUP(C75,TablaBarras!$A$2:$C$13,3,FALSE))*D75*E75</f>
        <v>30.729599999999998</v>
      </c>
    </row>
    <row r="76" spans="1:7" x14ac:dyDescent="0.3">
      <c r="A76" s="1">
        <v>75</v>
      </c>
      <c r="B76" s="3" t="s">
        <v>71</v>
      </c>
      <c r="C76" s="1" t="s">
        <v>11</v>
      </c>
      <c r="D76" s="3">
        <v>3.3</v>
      </c>
      <c r="E76" s="3">
        <v>20</v>
      </c>
      <c r="F76" s="1">
        <v>8</v>
      </c>
      <c r="G76" s="1">
        <f>(VLOOKUP(C76,TablaBarras!$A$2:$C$13,3,FALSE))*D76*E76</f>
        <v>102.432</v>
      </c>
    </row>
    <row r="77" spans="1:7" x14ac:dyDescent="0.3">
      <c r="A77" s="1">
        <v>76</v>
      </c>
      <c r="B77" s="3" t="s">
        <v>31</v>
      </c>
      <c r="C77" s="1" t="s">
        <v>11</v>
      </c>
      <c r="D77" s="3">
        <v>3</v>
      </c>
      <c r="E77" s="3">
        <v>44</v>
      </c>
      <c r="F77" s="1">
        <v>8</v>
      </c>
      <c r="G77" s="1">
        <f>(VLOOKUP(C77,TablaBarras!$A$2:$C$13,3,FALSE))*D77*E77</f>
        <v>204.86400000000003</v>
      </c>
    </row>
    <row r="78" spans="1:7" x14ac:dyDescent="0.3">
      <c r="A78" s="1">
        <v>77</v>
      </c>
      <c r="B78" s="3" t="s">
        <v>72</v>
      </c>
      <c r="C78" s="1" t="s">
        <v>11</v>
      </c>
      <c r="D78" s="3">
        <v>3</v>
      </c>
      <c r="E78" s="3">
        <v>16</v>
      </c>
      <c r="F78" s="1">
        <v>8</v>
      </c>
      <c r="G78" s="1">
        <f>(VLOOKUP(C78,TablaBarras!$A$2:$C$13,3,FALSE))*D78*E78</f>
        <v>74.496000000000009</v>
      </c>
    </row>
    <row r="79" spans="1:7" x14ac:dyDescent="0.3">
      <c r="A79" s="1">
        <v>78</v>
      </c>
      <c r="B79" s="3" t="s">
        <v>73</v>
      </c>
      <c r="C79" s="1" t="s">
        <v>11</v>
      </c>
      <c r="D79" s="3">
        <v>3</v>
      </c>
      <c r="E79" s="3">
        <v>6</v>
      </c>
      <c r="F79" s="1">
        <v>8</v>
      </c>
      <c r="G79" s="1">
        <f>(VLOOKUP(C79,TablaBarras!$A$2:$C$13,3,FALSE))*D79*E79</f>
        <v>27.936000000000003</v>
      </c>
    </row>
    <row r="80" spans="1:7" x14ac:dyDescent="0.3">
      <c r="A80" s="1">
        <v>79</v>
      </c>
      <c r="B80" s="3" t="s">
        <v>74</v>
      </c>
      <c r="C80" s="1" t="s">
        <v>11</v>
      </c>
      <c r="D80" s="3">
        <v>2.9</v>
      </c>
      <c r="E80" s="3">
        <v>6</v>
      </c>
      <c r="F80" s="1">
        <v>8</v>
      </c>
      <c r="G80" s="1">
        <f>(VLOOKUP(C80,TablaBarras!$A$2:$C$13,3,FALSE))*D80*E80</f>
        <v>27.004799999999999</v>
      </c>
    </row>
    <row r="81" spans="1:7" x14ac:dyDescent="0.3">
      <c r="A81" s="1">
        <v>80</v>
      </c>
      <c r="B81" s="3" t="s">
        <v>75</v>
      </c>
      <c r="C81" s="1" t="s">
        <v>11</v>
      </c>
      <c r="D81" s="3">
        <v>2.85</v>
      </c>
      <c r="E81" s="3">
        <v>75</v>
      </c>
      <c r="F81" s="1">
        <v>8</v>
      </c>
      <c r="G81" s="1">
        <f>(VLOOKUP(C81,TablaBarras!$A$2:$C$13,3,FALSE))*D81*E81</f>
        <v>331.74</v>
      </c>
    </row>
    <row r="82" spans="1:7" x14ac:dyDescent="0.3">
      <c r="A82" s="1">
        <v>81</v>
      </c>
      <c r="B82" s="3" t="s">
        <v>76</v>
      </c>
      <c r="C82" s="1" t="s">
        <v>11</v>
      </c>
      <c r="D82" s="3">
        <v>2.75</v>
      </c>
      <c r="E82" s="3">
        <v>30</v>
      </c>
      <c r="F82" s="1">
        <v>8</v>
      </c>
      <c r="G82" s="1">
        <f>(VLOOKUP(C82,TablaBarras!$A$2:$C$13,3,FALSE))*D82*E82</f>
        <v>128.04</v>
      </c>
    </row>
    <row r="83" spans="1:7" x14ac:dyDescent="0.3">
      <c r="A83" s="1">
        <v>82</v>
      </c>
      <c r="B83" s="3" t="s">
        <v>77</v>
      </c>
      <c r="C83" s="1" t="s">
        <v>11</v>
      </c>
      <c r="D83" s="3">
        <v>2.7</v>
      </c>
      <c r="E83" s="3">
        <v>1</v>
      </c>
      <c r="F83" s="1">
        <v>8</v>
      </c>
      <c r="G83" s="1">
        <f>(VLOOKUP(C83,TablaBarras!$A$2:$C$13,3,FALSE))*D83*E83</f>
        <v>4.1904000000000003</v>
      </c>
    </row>
    <row r="84" spans="1:7" x14ac:dyDescent="0.3">
      <c r="A84" s="1">
        <v>83</v>
      </c>
      <c r="B84" s="3" t="s">
        <v>78</v>
      </c>
      <c r="C84" s="1" t="s">
        <v>11</v>
      </c>
      <c r="D84" s="3">
        <v>2.7</v>
      </c>
      <c r="E84" s="3">
        <v>27</v>
      </c>
      <c r="F84" s="1">
        <v>8</v>
      </c>
      <c r="G84" s="1">
        <f>(VLOOKUP(C84,TablaBarras!$A$2:$C$13,3,FALSE))*D84*E84</f>
        <v>113.14080000000001</v>
      </c>
    </row>
    <row r="85" spans="1:7" x14ac:dyDescent="0.3">
      <c r="A85" s="1">
        <v>84</v>
      </c>
      <c r="B85" s="3" t="s">
        <v>79</v>
      </c>
      <c r="C85" s="1" t="s">
        <v>11</v>
      </c>
      <c r="D85" s="3">
        <v>2.5499999999999998</v>
      </c>
      <c r="E85" s="3">
        <v>125</v>
      </c>
      <c r="F85" s="1">
        <v>9</v>
      </c>
      <c r="G85" s="1">
        <f>(VLOOKUP(C85,TablaBarras!$A$2:$C$13,3,FALSE))*D85*E85</f>
        <v>494.7</v>
      </c>
    </row>
    <row r="86" spans="1:7" x14ac:dyDescent="0.3">
      <c r="A86" s="1">
        <v>85</v>
      </c>
      <c r="B86" s="3" t="s">
        <v>70</v>
      </c>
      <c r="C86" s="1" t="s">
        <v>11</v>
      </c>
      <c r="D86" s="3">
        <v>2.5</v>
      </c>
      <c r="E86" s="3">
        <v>3</v>
      </c>
      <c r="F86" s="1">
        <v>8</v>
      </c>
      <c r="G86" s="1">
        <f>(VLOOKUP(C86,TablaBarras!$A$2:$C$13,3,FALSE))*D86*E86</f>
        <v>11.64</v>
      </c>
    </row>
    <row r="87" spans="1:7" x14ac:dyDescent="0.3">
      <c r="A87" s="1">
        <v>86</v>
      </c>
      <c r="B87" s="3" t="s">
        <v>80</v>
      </c>
      <c r="C87" s="1" t="s">
        <v>11</v>
      </c>
      <c r="D87" s="3">
        <v>2.5</v>
      </c>
      <c r="E87" s="3">
        <v>4</v>
      </c>
      <c r="F87" s="1">
        <v>8</v>
      </c>
      <c r="G87" s="1">
        <f>(VLOOKUP(C87,TablaBarras!$A$2:$C$13,3,FALSE))*D87*E87</f>
        <v>15.52</v>
      </c>
    </row>
    <row r="88" spans="1:7" x14ac:dyDescent="0.3">
      <c r="A88" s="1">
        <v>87</v>
      </c>
      <c r="B88" s="3" t="s">
        <v>81</v>
      </c>
      <c r="C88" s="1" t="s">
        <v>11</v>
      </c>
      <c r="D88" s="3">
        <v>2.4</v>
      </c>
      <c r="E88" s="3">
        <v>4</v>
      </c>
      <c r="F88" s="1">
        <v>8</v>
      </c>
      <c r="G88" s="1">
        <f>(VLOOKUP(C88,TablaBarras!$A$2:$C$13,3,FALSE))*D88*E88</f>
        <v>14.8992</v>
      </c>
    </row>
    <row r="89" spans="1:7" x14ac:dyDescent="0.3">
      <c r="A89" s="1">
        <v>88</v>
      </c>
      <c r="B89" s="3" t="s">
        <v>82</v>
      </c>
      <c r="C89" s="1" t="s">
        <v>11</v>
      </c>
      <c r="D89" s="3">
        <v>2.35</v>
      </c>
      <c r="E89" s="3">
        <v>24</v>
      </c>
      <c r="F89" s="1">
        <v>8</v>
      </c>
      <c r="G89" s="1">
        <f>(VLOOKUP(C89,TablaBarras!$A$2:$C$13,3,FALSE))*D89*E89</f>
        <v>87.532800000000009</v>
      </c>
    </row>
    <row r="90" spans="1:7" x14ac:dyDescent="0.3">
      <c r="A90" s="1">
        <v>89</v>
      </c>
      <c r="B90" s="3" t="s">
        <v>68</v>
      </c>
      <c r="C90" s="1" t="s">
        <v>11</v>
      </c>
      <c r="D90" s="3">
        <v>2.2000000000000002</v>
      </c>
      <c r="E90" s="3">
        <v>3</v>
      </c>
      <c r="F90" s="1">
        <v>8</v>
      </c>
      <c r="G90" s="1">
        <f>(VLOOKUP(C90,TablaBarras!$A$2:$C$13,3,FALSE))*D90*E90</f>
        <v>10.243200000000002</v>
      </c>
    </row>
    <row r="91" spans="1:7" x14ac:dyDescent="0.3">
      <c r="A91" s="1">
        <v>90</v>
      </c>
      <c r="B91" s="3" t="s">
        <v>70</v>
      </c>
      <c r="C91" s="1" t="s">
        <v>11</v>
      </c>
      <c r="D91" s="3">
        <v>2.1</v>
      </c>
      <c r="E91" s="3">
        <v>4</v>
      </c>
      <c r="F91" s="1">
        <v>8</v>
      </c>
      <c r="G91" s="1">
        <f>(VLOOKUP(C91,TablaBarras!$A$2:$C$13,3,FALSE))*D91*E91</f>
        <v>13.036800000000001</v>
      </c>
    </row>
    <row r="92" spans="1:7" x14ac:dyDescent="0.3">
      <c r="A92" s="1">
        <v>91</v>
      </c>
      <c r="B92" s="3" t="s">
        <v>83</v>
      </c>
      <c r="C92" s="1" t="s">
        <v>11</v>
      </c>
      <c r="D92" s="3">
        <v>2</v>
      </c>
      <c r="E92" s="3">
        <v>1</v>
      </c>
      <c r="F92" s="1">
        <v>8</v>
      </c>
      <c r="G92" s="1">
        <f>(VLOOKUP(C92,TablaBarras!$A$2:$C$13,3,FALSE))*D92*E92</f>
        <v>3.1040000000000001</v>
      </c>
    </row>
    <row r="93" spans="1:7" x14ac:dyDescent="0.3">
      <c r="A93" s="1">
        <v>92</v>
      </c>
      <c r="B93" s="3" t="s">
        <v>84</v>
      </c>
      <c r="C93" s="1" t="s">
        <v>11</v>
      </c>
      <c r="D93" s="3">
        <v>1.95</v>
      </c>
      <c r="E93" s="3">
        <v>12</v>
      </c>
      <c r="F93" s="1">
        <v>8</v>
      </c>
      <c r="G93" s="1">
        <f>(VLOOKUP(C93,TablaBarras!$A$2:$C$13,3,FALSE))*D93*E93</f>
        <v>36.316800000000001</v>
      </c>
    </row>
    <row r="94" spans="1:7" x14ac:dyDescent="0.3">
      <c r="A94" s="1">
        <v>93</v>
      </c>
      <c r="B94" s="3" t="s">
        <v>85</v>
      </c>
      <c r="C94" s="1" t="s">
        <v>11</v>
      </c>
      <c r="D94" s="3">
        <v>1.8</v>
      </c>
      <c r="E94" s="3">
        <v>1</v>
      </c>
      <c r="F94" s="1">
        <v>8</v>
      </c>
      <c r="G94" s="1">
        <f>(VLOOKUP(C94,TablaBarras!$A$2:$C$13,3,FALSE))*D94*E94</f>
        <v>2.7936000000000001</v>
      </c>
    </row>
    <row r="95" spans="1:7" x14ac:dyDescent="0.3">
      <c r="A95" s="1">
        <v>94</v>
      </c>
      <c r="B95" s="3" t="s">
        <v>86</v>
      </c>
      <c r="C95" s="1" t="s">
        <v>11</v>
      </c>
      <c r="D95" s="3">
        <v>1.35</v>
      </c>
      <c r="E95" s="3">
        <v>8</v>
      </c>
      <c r="F95" s="1">
        <v>8</v>
      </c>
      <c r="G95" s="1">
        <f>(VLOOKUP(C95,TablaBarras!$A$2:$C$13,3,FALSE))*D95*E95</f>
        <v>16.761600000000001</v>
      </c>
    </row>
    <row r="96" spans="1:7" x14ac:dyDescent="0.3">
      <c r="A96" s="1">
        <v>95</v>
      </c>
      <c r="B96" s="1" t="s">
        <v>31</v>
      </c>
      <c r="C96" s="1" t="s">
        <v>14</v>
      </c>
      <c r="D96" s="1">
        <v>9</v>
      </c>
      <c r="E96" s="1">
        <v>133</v>
      </c>
      <c r="F96" s="1">
        <v>10</v>
      </c>
      <c r="G96" s="1">
        <f>(VLOOKUP(C96,TablaBarras!$A$2:$C$13,3,FALSE))*D96*E96</f>
        <v>2675.2949999999996</v>
      </c>
    </row>
    <row r="97" spans="1:7" x14ac:dyDescent="0.3">
      <c r="A97" s="1">
        <v>96</v>
      </c>
      <c r="B97" s="1" t="s">
        <v>31</v>
      </c>
      <c r="C97" s="1" t="s">
        <v>14</v>
      </c>
      <c r="D97" s="1">
        <v>9</v>
      </c>
      <c r="E97" s="1">
        <v>110</v>
      </c>
      <c r="F97" s="1">
        <v>10</v>
      </c>
      <c r="G97" s="1">
        <f>(VLOOKUP(C97,TablaBarras!$A$2:$C$13,3,FALSE))*D97*E97</f>
        <v>2212.6499999999996</v>
      </c>
    </row>
    <row r="98" spans="1:7" x14ac:dyDescent="0.3">
      <c r="A98" s="1">
        <v>97</v>
      </c>
      <c r="B98" s="3" t="s">
        <v>87</v>
      </c>
      <c r="C98" s="1" t="s">
        <v>14</v>
      </c>
      <c r="D98" s="3">
        <v>8.5</v>
      </c>
      <c r="E98" s="3">
        <v>4</v>
      </c>
      <c r="F98" s="1">
        <v>11</v>
      </c>
      <c r="G98" s="1">
        <f>(VLOOKUP(C98,TablaBarras!$A$2:$C$13,3,FALSE))*D98*E98</f>
        <v>75.989999999999995</v>
      </c>
    </row>
    <row r="99" spans="1:7" x14ac:dyDescent="0.3">
      <c r="A99" s="1">
        <v>98</v>
      </c>
      <c r="B99" s="3" t="s">
        <v>80</v>
      </c>
      <c r="C99" s="1" t="s">
        <v>14</v>
      </c>
      <c r="D99" s="3">
        <v>7.6</v>
      </c>
      <c r="E99" s="3">
        <v>4</v>
      </c>
      <c r="F99" s="1">
        <v>11</v>
      </c>
      <c r="G99" s="1">
        <f>(VLOOKUP(C99,TablaBarras!$A$2:$C$13,3,FALSE))*D99*E99</f>
        <v>67.943999999999988</v>
      </c>
    </row>
    <row r="100" spans="1:7" x14ac:dyDescent="0.3">
      <c r="A100" s="1">
        <v>99</v>
      </c>
      <c r="B100" s="3" t="s">
        <v>31</v>
      </c>
      <c r="C100" s="1" t="s">
        <v>14</v>
      </c>
      <c r="D100" s="3">
        <v>7.5</v>
      </c>
      <c r="E100" s="3">
        <v>313</v>
      </c>
      <c r="F100" s="1">
        <v>10</v>
      </c>
      <c r="G100" s="1">
        <f>(VLOOKUP(C100,TablaBarras!$A$2:$C$13,3,FALSE))*D100*E100</f>
        <v>5246.6624999999995</v>
      </c>
    </row>
    <row r="101" spans="1:7" x14ac:dyDescent="0.3">
      <c r="A101" s="1">
        <v>100</v>
      </c>
      <c r="B101" s="3" t="s">
        <v>88</v>
      </c>
      <c r="C101" s="1" t="s">
        <v>14</v>
      </c>
      <c r="D101" s="3">
        <v>7.5</v>
      </c>
      <c r="E101" s="3">
        <v>67</v>
      </c>
      <c r="F101" s="1">
        <v>11</v>
      </c>
      <c r="G101" s="1">
        <f>(VLOOKUP(C101,TablaBarras!$A$2:$C$13,3,FALSE))*D101*E101</f>
        <v>1123.0874999999999</v>
      </c>
    </row>
    <row r="102" spans="1:7" x14ac:dyDescent="0.3">
      <c r="A102" s="1">
        <v>101</v>
      </c>
      <c r="B102" s="3" t="s">
        <v>81</v>
      </c>
      <c r="C102" s="1" t="s">
        <v>14</v>
      </c>
      <c r="D102" s="3">
        <v>7.5</v>
      </c>
      <c r="E102" s="3">
        <v>2</v>
      </c>
      <c r="F102" s="1">
        <v>11</v>
      </c>
      <c r="G102" s="1">
        <f>(VLOOKUP(C102,TablaBarras!$A$2:$C$13,3,FALSE))*D102*E102</f>
        <v>33.524999999999999</v>
      </c>
    </row>
    <row r="103" spans="1:7" x14ac:dyDescent="0.3">
      <c r="A103" s="1">
        <v>102</v>
      </c>
      <c r="B103" s="3" t="s">
        <v>89</v>
      </c>
      <c r="C103" s="1" t="s">
        <v>14</v>
      </c>
      <c r="D103" s="3">
        <v>7.45</v>
      </c>
      <c r="E103" s="3">
        <v>24</v>
      </c>
      <c r="F103" s="1">
        <v>11</v>
      </c>
      <c r="G103" s="1">
        <f>(VLOOKUP(C103,TablaBarras!$A$2:$C$13,3,FALSE))*D103*E103</f>
        <v>399.61799999999994</v>
      </c>
    </row>
    <row r="104" spans="1:7" x14ac:dyDescent="0.3">
      <c r="A104" s="1">
        <v>103</v>
      </c>
      <c r="B104" s="3" t="s">
        <v>90</v>
      </c>
      <c r="C104" s="1" t="s">
        <v>14</v>
      </c>
      <c r="D104" s="3">
        <v>6.93</v>
      </c>
      <c r="E104" s="3">
        <v>8</v>
      </c>
      <c r="F104" s="1">
        <v>11</v>
      </c>
      <c r="G104" s="1">
        <f>(VLOOKUP(C104,TablaBarras!$A$2:$C$13,3,FALSE))*D104*E104</f>
        <v>123.90839999999999</v>
      </c>
    </row>
    <row r="105" spans="1:7" x14ac:dyDescent="0.3">
      <c r="A105" s="1">
        <v>104</v>
      </c>
      <c r="B105" s="3" t="s">
        <v>31</v>
      </c>
      <c r="C105" s="1" t="s">
        <v>14</v>
      </c>
      <c r="D105" s="3">
        <v>6.5</v>
      </c>
      <c r="E105" s="3">
        <v>1775</v>
      </c>
      <c r="F105" s="1">
        <v>12</v>
      </c>
      <c r="G105" s="1">
        <f>(VLOOKUP(C105,TablaBarras!$A$2:$C$13,3,FALSE))*D105*E105</f>
        <v>25786.3125</v>
      </c>
    </row>
    <row r="106" spans="1:7" x14ac:dyDescent="0.3">
      <c r="A106" s="1">
        <v>105</v>
      </c>
      <c r="B106" s="3" t="s">
        <v>31</v>
      </c>
      <c r="C106" s="1" t="s">
        <v>14</v>
      </c>
      <c r="D106" s="3">
        <v>6.5</v>
      </c>
      <c r="E106" s="3">
        <v>461</v>
      </c>
      <c r="F106" s="1">
        <v>10</v>
      </c>
      <c r="G106" s="1">
        <f>(VLOOKUP(C106,TablaBarras!$A$2:$C$13,3,FALSE))*D106*E106</f>
        <v>6697.1774999999998</v>
      </c>
    </row>
    <row r="107" spans="1:7" x14ac:dyDescent="0.3">
      <c r="A107" s="1">
        <v>106</v>
      </c>
      <c r="B107" s="3" t="s">
        <v>70</v>
      </c>
      <c r="C107" s="1" t="s">
        <v>14</v>
      </c>
      <c r="D107" s="3">
        <v>6.1</v>
      </c>
      <c r="E107" s="3">
        <v>3</v>
      </c>
      <c r="F107" s="1">
        <v>11</v>
      </c>
      <c r="G107" s="1">
        <f>(VLOOKUP(C107,TablaBarras!$A$2:$C$13,3,FALSE))*D107*E107</f>
        <v>40.900499999999994</v>
      </c>
    </row>
    <row r="108" spans="1:7" x14ac:dyDescent="0.3">
      <c r="A108" s="1">
        <v>107</v>
      </c>
      <c r="B108" s="3" t="s">
        <v>31</v>
      </c>
      <c r="C108" s="1" t="s">
        <v>14</v>
      </c>
      <c r="D108" s="3">
        <v>6</v>
      </c>
      <c r="E108" s="3">
        <v>281</v>
      </c>
      <c r="F108" s="1">
        <v>10</v>
      </c>
      <c r="G108" s="1">
        <f>(VLOOKUP(C108,TablaBarras!$A$2:$C$13,3,FALSE))*D108*E108</f>
        <v>3768.21</v>
      </c>
    </row>
    <row r="109" spans="1:7" x14ac:dyDescent="0.3">
      <c r="A109" s="1">
        <v>108</v>
      </c>
      <c r="B109" s="3" t="s">
        <v>31</v>
      </c>
      <c r="C109" s="1" t="s">
        <v>14</v>
      </c>
      <c r="D109" s="3">
        <v>6</v>
      </c>
      <c r="E109" s="3">
        <v>246</v>
      </c>
      <c r="F109" s="1">
        <v>10</v>
      </c>
      <c r="G109" s="1">
        <f>(VLOOKUP(C109,TablaBarras!$A$2:$C$13,3,FALSE))*D109*E109</f>
        <v>3298.86</v>
      </c>
    </row>
    <row r="110" spans="1:7" x14ac:dyDescent="0.3">
      <c r="A110" s="1">
        <v>109</v>
      </c>
      <c r="B110" s="3" t="s">
        <v>91</v>
      </c>
      <c r="C110" s="1" t="s">
        <v>14</v>
      </c>
      <c r="D110" s="3">
        <v>5.6</v>
      </c>
      <c r="E110" s="3">
        <v>1</v>
      </c>
      <c r="F110" s="1">
        <v>11</v>
      </c>
      <c r="G110" s="1">
        <f>(VLOOKUP(C110,TablaBarras!$A$2:$C$13,3,FALSE))*D110*E110</f>
        <v>12.515999999999998</v>
      </c>
    </row>
    <row r="111" spans="1:7" x14ac:dyDescent="0.3">
      <c r="A111" s="1">
        <v>110</v>
      </c>
      <c r="B111" s="3" t="s">
        <v>92</v>
      </c>
      <c r="C111" s="1" t="s">
        <v>14</v>
      </c>
      <c r="D111" s="3">
        <v>5.5</v>
      </c>
      <c r="E111" s="3">
        <v>312</v>
      </c>
      <c r="F111" s="1">
        <v>10</v>
      </c>
      <c r="G111" s="1">
        <f>(VLOOKUP(C111,TablaBarras!$A$2:$C$13,3,FALSE))*D111*E111</f>
        <v>3835.2599999999998</v>
      </c>
    </row>
    <row r="112" spans="1:7" x14ac:dyDescent="0.3">
      <c r="A112" s="1">
        <v>111</v>
      </c>
      <c r="B112" s="3" t="s">
        <v>93</v>
      </c>
      <c r="C112" s="1" t="s">
        <v>14</v>
      </c>
      <c r="D112" s="3">
        <v>5.45</v>
      </c>
      <c r="E112" s="3">
        <v>8</v>
      </c>
      <c r="F112" s="1">
        <v>11</v>
      </c>
      <c r="G112" s="1">
        <f>(VLOOKUP(C112,TablaBarras!$A$2:$C$13,3,FALSE))*D112*E112</f>
        <v>97.445999999999998</v>
      </c>
    </row>
    <row r="113" spans="1:7" x14ac:dyDescent="0.3">
      <c r="A113" s="1">
        <v>112</v>
      </c>
      <c r="B113" s="3" t="s">
        <v>94</v>
      </c>
      <c r="C113" s="1" t="s">
        <v>14</v>
      </c>
      <c r="D113" s="3">
        <v>5</v>
      </c>
      <c r="E113" s="3">
        <v>10</v>
      </c>
      <c r="F113" s="1">
        <v>11</v>
      </c>
      <c r="G113" s="1">
        <f>(VLOOKUP(C113,TablaBarras!$A$2:$C$13,3,FALSE))*D113*E113</f>
        <v>111.74999999999999</v>
      </c>
    </row>
    <row r="114" spans="1:7" x14ac:dyDescent="0.3">
      <c r="A114" s="1">
        <v>113</v>
      </c>
      <c r="B114" s="3" t="s">
        <v>95</v>
      </c>
      <c r="C114" s="1" t="s">
        <v>14</v>
      </c>
      <c r="D114" s="3">
        <v>4.5</v>
      </c>
      <c r="E114" s="3">
        <v>7</v>
      </c>
      <c r="F114" s="1">
        <v>11</v>
      </c>
      <c r="G114" s="1">
        <f>(VLOOKUP(C114,TablaBarras!$A$2:$C$13,3,FALSE))*D114*E114</f>
        <v>70.402499999999989</v>
      </c>
    </row>
    <row r="115" spans="1:7" x14ac:dyDescent="0.3">
      <c r="A115" s="1">
        <v>114</v>
      </c>
      <c r="B115" s="3" t="s">
        <v>64</v>
      </c>
      <c r="C115" s="1" t="s">
        <v>14</v>
      </c>
      <c r="D115" s="3">
        <v>3.9</v>
      </c>
      <c r="E115" s="3">
        <v>1</v>
      </c>
      <c r="F115" s="1">
        <v>11</v>
      </c>
      <c r="G115" s="1">
        <f>(VLOOKUP(C115,TablaBarras!$A$2:$C$13,3,FALSE))*D115*E115</f>
        <v>8.7164999999999999</v>
      </c>
    </row>
    <row r="116" spans="1:7" x14ac:dyDescent="0.3">
      <c r="A116" s="1">
        <v>115</v>
      </c>
      <c r="B116" s="3" t="s">
        <v>85</v>
      </c>
      <c r="C116" s="1" t="s">
        <v>14</v>
      </c>
      <c r="D116" s="3">
        <v>3.5</v>
      </c>
      <c r="E116" s="3">
        <v>1</v>
      </c>
      <c r="F116" s="1">
        <v>11</v>
      </c>
      <c r="G116" s="1">
        <f>(VLOOKUP(C116,TablaBarras!$A$2:$C$13,3,FALSE))*D116*E116</f>
        <v>7.8224999999999998</v>
      </c>
    </row>
    <row r="117" spans="1:7" x14ac:dyDescent="0.3">
      <c r="A117" s="1">
        <v>116</v>
      </c>
      <c r="B117" s="3" t="s">
        <v>96</v>
      </c>
      <c r="C117" s="1" t="s">
        <v>14</v>
      </c>
      <c r="D117" s="3">
        <v>3.5</v>
      </c>
      <c r="E117" s="3">
        <v>6</v>
      </c>
      <c r="F117" s="1">
        <v>11</v>
      </c>
      <c r="G117" s="1">
        <f>(VLOOKUP(C117,TablaBarras!$A$2:$C$13,3,FALSE))*D117*E117</f>
        <v>46.935000000000002</v>
      </c>
    </row>
    <row r="118" spans="1:7" x14ac:dyDescent="0.3">
      <c r="A118" s="1">
        <v>117</v>
      </c>
      <c r="B118" s="3" t="s">
        <v>81</v>
      </c>
      <c r="C118" s="1" t="s">
        <v>14</v>
      </c>
      <c r="D118" s="3">
        <v>3.5</v>
      </c>
      <c r="E118" s="3">
        <v>2</v>
      </c>
      <c r="F118" s="1">
        <v>11</v>
      </c>
      <c r="G118" s="1">
        <f>(VLOOKUP(C118,TablaBarras!$A$2:$C$13,3,FALSE))*D118*E118</f>
        <v>15.645</v>
      </c>
    </row>
    <row r="119" spans="1:7" x14ac:dyDescent="0.3">
      <c r="A119" s="1">
        <v>118</v>
      </c>
      <c r="B119" s="3" t="s">
        <v>97</v>
      </c>
      <c r="C119" s="1" t="s">
        <v>14</v>
      </c>
      <c r="D119" s="3">
        <v>3.45</v>
      </c>
      <c r="E119" s="3">
        <v>36</v>
      </c>
      <c r="F119" s="1">
        <v>11</v>
      </c>
      <c r="G119" s="1">
        <f>(VLOOKUP(C119,TablaBarras!$A$2:$C$13,3,FALSE))*D119*E119</f>
        <v>277.58699999999999</v>
      </c>
    </row>
    <row r="120" spans="1:7" x14ac:dyDescent="0.3">
      <c r="A120" s="1">
        <v>119</v>
      </c>
      <c r="B120" s="3" t="s">
        <v>98</v>
      </c>
      <c r="C120" s="1" t="s">
        <v>14</v>
      </c>
      <c r="D120" s="3">
        <v>3.4</v>
      </c>
      <c r="E120" s="3">
        <v>14</v>
      </c>
      <c r="F120" s="1">
        <v>11</v>
      </c>
      <c r="G120" s="1">
        <f>(VLOOKUP(C120,TablaBarras!$A$2:$C$13,3,FALSE))*D120*E120</f>
        <v>106.386</v>
      </c>
    </row>
    <row r="121" spans="1:7" x14ac:dyDescent="0.3">
      <c r="A121" s="1">
        <v>120</v>
      </c>
      <c r="B121" s="3" t="s">
        <v>70</v>
      </c>
      <c r="C121" s="1" t="s">
        <v>14</v>
      </c>
      <c r="D121" s="3">
        <v>3.3</v>
      </c>
      <c r="E121" s="3">
        <v>5</v>
      </c>
      <c r="F121" s="1">
        <v>11</v>
      </c>
      <c r="G121" s="1">
        <f>(VLOOKUP(C121,TablaBarras!$A$2:$C$13,3,FALSE))*D121*E121</f>
        <v>36.877499999999998</v>
      </c>
    </row>
    <row r="122" spans="1:7" x14ac:dyDescent="0.3">
      <c r="A122" s="1">
        <v>121</v>
      </c>
      <c r="B122" s="3" t="s">
        <v>99</v>
      </c>
      <c r="C122" s="1" t="s">
        <v>14</v>
      </c>
      <c r="D122" s="3">
        <v>3.3</v>
      </c>
      <c r="E122" s="3">
        <v>63</v>
      </c>
      <c r="F122" s="1">
        <v>11</v>
      </c>
      <c r="G122" s="1">
        <f>(VLOOKUP(C122,TablaBarras!$A$2:$C$13,3,FALSE))*D122*E122</f>
        <v>464.65649999999994</v>
      </c>
    </row>
    <row r="123" spans="1:7" x14ac:dyDescent="0.3">
      <c r="A123" s="1">
        <v>122</v>
      </c>
      <c r="B123" s="3" t="s">
        <v>100</v>
      </c>
      <c r="C123" s="1" t="s">
        <v>14</v>
      </c>
      <c r="D123" s="3">
        <v>3.25</v>
      </c>
      <c r="E123" s="3">
        <v>196</v>
      </c>
      <c r="F123" s="1">
        <v>10</v>
      </c>
      <c r="G123" s="1">
        <f>(VLOOKUP(C123,TablaBarras!$A$2:$C$13,3,FALSE))*D123*E123</f>
        <v>1423.6949999999999</v>
      </c>
    </row>
    <row r="124" spans="1:7" x14ac:dyDescent="0.3">
      <c r="A124" s="1">
        <v>123</v>
      </c>
      <c r="B124" s="3" t="s">
        <v>31</v>
      </c>
      <c r="C124" s="1" t="s">
        <v>14</v>
      </c>
      <c r="D124" s="3">
        <v>3</v>
      </c>
      <c r="E124" s="3">
        <v>313</v>
      </c>
      <c r="F124" s="1">
        <v>11</v>
      </c>
      <c r="G124" s="1">
        <f>(VLOOKUP(C124,TablaBarras!$A$2:$C$13,3,FALSE))*D124*E124</f>
        <v>2098.665</v>
      </c>
    </row>
    <row r="125" spans="1:7" x14ac:dyDescent="0.3">
      <c r="A125" s="1">
        <v>124</v>
      </c>
      <c r="B125" s="3" t="s">
        <v>68</v>
      </c>
      <c r="C125" s="1" t="s">
        <v>14</v>
      </c>
      <c r="D125" s="3">
        <v>2.9</v>
      </c>
      <c r="E125" s="3">
        <v>1</v>
      </c>
      <c r="F125" s="1">
        <v>11</v>
      </c>
      <c r="G125" s="1">
        <f>(VLOOKUP(C125,TablaBarras!$A$2:$C$13,3,FALSE))*D125*E125</f>
        <v>6.4814999999999996</v>
      </c>
    </row>
    <row r="126" spans="1:7" x14ac:dyDescent="0.3">
      <c r="A126" s="1">
        <v>125</v>
      </c>
      <c r="B126" s="3" t="s">
        <v>31</v>
      </c>
      <c r="C126" s="1" t="s">
        <v>14</v>
      </c>
      <c r="D126" s="3">
        <v>2.7</v>
      </c>
      <c r="E126" s="3">
        <v>316</v>
      </c>
      <c r="F126" s="1">
        <v>10</v>
      </c>
      <c r="G126" s="1">
        <f>(VLOOKUP(C126,TablaBarras!$A$2:$C$13,3,FALSE))*D126*E126</f>
        <v>1906.902</v>
      </c>
    </row>
    <row r="127" spans="1:7" x14ac:dyDescent="0.3">
      <c r="A127" s="1">
        <v>126</v>
      </c>
      <c r="B127" s="3" t="s">
        <v>101</v>
      </c>
      <c r="C127" s="1" t="s">
        <v>14</v>
      </c>
      <c r="D127" s="3">
        <v>2.4500000000000002</v>
      </c>
      <c r="E127" s="3">
        <v>207</v>
      </c>
      <c r="F127" s="1">
        <v>10</v>
      </c>
      <c r="G127" s="1">
        <f>(VLOOKUP(C127,TablaBarras!$A$2:$C$13,3,FALSE))*D127*E127</f>
        <v>1133.4802499999998</v>
      </c>
    </row>
    <row r="128" spans="1:7" x14ac:dyDescent="0.3">
      <c r="A128" s="1">
        <v>127</v>
      </c>
      <c r="B128" s="3" t="s">
        <v>69</v>
      </c>
      <c r="C128" s="1" t="s">
        <v>14</v>
      </c>
      <c r="D128" s="3">
        <v>2.4500000000000002</v>
      </c>
      <c r="E128" s="3">
        <v>23</v>
      </c>
      <c r="F128" s="1">
        <v>11</v>
      </c>
      <c r="G128" s="1">
        <f>(VLOOKUP(C128,TablaBarras!$A$2:$C$13,3,FALSE))*D128*E128</f>
        <v>125.94224999999999</v>
      </c>
    </row>
    <row r="129" spans="1:7" x14ac:dyDescent="0.3">
      <c r="A129" s="1">
        <v>128</v>
      </c>
      <c r="B129" s="3" t="s">
        <v>102</v>
      </c>
      <c r="C129" s="1" t="s">
        <v>14</v>
      </c>
      <c r="D129" s="3">
        <v>2.25</v>
      </c>
      <c r="E129" s="3">
        <v>95</v>
      </c>
      <c r="F129" s="1">
        <v>11</v>
      </c>
      <c r="G129" s="1">
        <f>(VLOOKUP(C129,TablaBarras!$A$2:$C$13,3,FALSE))*D129*E129</f>
        <v>477.73124999999999</v>
      </c>
    </row>
    <row r="130" spans="1:7" x14ac:dyDescent="0.3">
      <c r="A130" s="1">
        <v>129</v>
      </c>
      <c r="B130" s="3" t="s">
        <v>103</v>
      </c>
      <c r="C130" s="1" t="s">
        <v>14</v>
      </c>
      <c r="D130" s="3">
        <v>2.2000000000000002</v>
      </c>
      <c r="E130" s="3">
        <v>3</v>
      </c>
      <c r="F130" s="1">
        <v>11</v>
      </c>
      <c r="G130" s="1">
        <f>(VLOOKUP(C130,TablaBarras!$A$2:$C$13,3,FALSE))*D130*E130</f>
        <v>14.750999999999999</v>
      </c>
    </row>
    <row r="131" spans="1:7" x14ac:dyDescent="0.3">
      <c r="A131" s="1">
        <v>130</v>
      </c>
      <c r="B131" s="3" t="s">
        <v>104</v>
      </c>
      <c r="C131" s="1" t="s">
        <v>14</v>
      </c>
      <c r="D131" s="3">
        <v>2</v>
      </c>
      <c r="E131" s="3">
        <v>14</v>
      </c>
      <c r="F131" s="1">
        <v>11</v>
      </c>
      <c r="G131" s="1">
        <f>(VLOOKUP(C131,TablaBarras!$A$2:$C$13,3,FALSE))*D131*E131</f>
        <v>62.58</v>
      </c>
    </row>
    <row r="132" spans="1:7" x14ac:dyDescent="0.3">
      <c r="A132" s="1">
        <v>131</v>
      </c>
      <c r="B132" s="3" t="s">
        <v>105</v>
      </c>
      <c r="C132" s="1" t="s">
        <v>14</v>
      </c>
      <c r="D132" s="3">
        <v>1.95</v>
      </c>
      <c r="E132" s="3">
        <v>100</v>
      </c>
      <c r="F132" s="1">
        <v>10</v>
      </c>
      <c r="G132" s="1">
        <f>(VLOOKUP(C132,TablaBarras!$A$2:$C$13,3,FALSE))*D132*E132</f>
        <v>435.82499999999999</v>
      </c>
    </row>
    <row r="133" spans="1:7" x14ac:dyDescent="0.3">
      <c r="A133" s="1">
        <v>132</v>
      </c>
      <c r="B133" s="3" t="s">
        <v>106</v>
      </c>
      <c r="C133" s="1" t="s">
        <v>14</v>
      </c>
      <c r="D133" s="3">
        <v>1.65</v>
      </c>
      <c r="E133" s="3">
        <v>72</v>
      </c>
      <c r="F133" s="1">
        <v>11</v>
      </c>
      <c r="G133" s="1">
        <f>(VLOOKUP(C133,TablaBarras!$A$2:$C$13,3,FALSE))*D133*E133</f>
        <v>265.51799999999997</v>
      </c>
    </row>
    <row r="134" spans="1:7" x14ac:dyDescent="0.3">
      <c r="A134" s="1">
        <v>133</v>
      </c>
      <c r="B134" s="3" t="s">
        <v>107</v>
      </c>
      <c r="C134" s="1" t="s">
        <v>15</v>
      </c>
      <c r="D134" s="3">
        <v>9</v>
      </c>
      <c r="E134" s="3">
        <v>14</v>
      </c>
      <c r="F134" s="1">
        <v>13</v>
      </c>
      <c r="G134" s="1">
        <f>(VLOOKUP(C134,TablaBarras!$A$2:$C$13,3,FALSE))*D134*E134</f>
        <v>383.29200000000003</v>
      </c>
    </row>
    <row r="135" spans="1:7" x14ac:dyDescent="0.3">
      <c r="A135" s="1">
        <v>134</v>
      </c>
      <c r="B135" s="3" t="s">
        <v>108</v>
      </c>
      <c r="C135" s="1" t="s">
        <v>15</v>
      </c>
      <c r="D135" s="3">
        <v>9</v>
      </c>
      <c r="E135" s="3">
        <v>15</v>
      </c>
      <c r="F135" s="1">
        <v>13</v>
      </c>
      <c r="G135" s="1">
        <f>(VLOOKUP(C135,TablaBarras!$A$2:$C$13,3,FALSE))*D135*E135</f>
        <v>410.67</v>
      </c>
    </row>
    <row r="136" spans="1:7" x14ac:dyDescent="0.3">
      <c r="A136" s="1">
        <v>135</v>
      </c>
      <c r="B136" s="3" t="s">
        <v>91</v>
      </c>
      <c r="C136" s="1" t="s">
        <v>15</v>
      </c>
      <c r="D136" s="3">
        <v>6</v>
      </c>
      <c r="E136" s="3">
        <v>14</v>
      </c>
      <c r="F136" s="1">
        <v>13</v>
      </c>
      <c r="G136" s="1">
        <f>(VLOOKUP(C136,TablaBarras!$A$2:$C$13,3,FALSE))*D136*E136</f>
        <v>255.52799999999999</v>
      </c>
    </row>
    <row r="137" spans="1:7" x14ac:dyDescent="0.3">
      <c r="A137" s="1">
        <v>136</v>
      </c>
      <c r="B137" s="3" t="s">
        <v>109</v>
      </c>
      <c r="C137" s="1" t="s">
        <v>15</v>
      </c>
      <c r="D137" s="3">
        <v>6</v>
      </c>
      <c r="E137" s="3">
        <v>17</v>
      </c>
      <c r="F137" s="1">
        <v>13</v>
      </c>
      <c r="G137" s="1">
        <f>(VLOOKUP(C137,TablaBarras!$A$2:$C$13,3,FALSE))*D137*E137</f>
        <v>310.28399999999999</v>
      </c>
    </row>
    <row r="138" spans="1:7" x14ac:dyDescent="0.3">
      <c r="A138" s="1">
        <v>137</v>
      </c>
      <c r="B138" s="3" t="s">
        <v>70</v>
      </c>
      <c r="C138" s="1" t="s">
        <v>15</v>
      </c>
      <c r="D138" s="3">
        <v>3.5</v>
      </c>
      <c r="E138" s="3">
        <v>8</v>
      </c>
      <c r="F138" s="1">
        <v>13</v>
      </c>
      <c r="G138" s="1">
        <f>(VLOOKUP(C138,TablaBarras!$A$2:$C$13,3,FALSE))*D138*E138</f>
        <v>85.175999999999988</v>
      </c>
    </row>
    <row r="139" spans="1:7" x14ac:dyDescent="0.3">
      <c r="A139" s="4"/>
      <c r="B139" s="4"/>
      <c r="C139" s="4"/>
      <c r="D139" s="4"/>
      <c r="E139" s="4"/>
      <c r="F139" s="4"/>
      <c r="G139" s="4"/>
    </row>
    <row r="140" spans="1:7" x14ac:dyDescent="0.3">
      <c r="A140" s="4"/>
      <c r="B140" s="4"/>
      <c r="C140" s="4"/>
      <c r="D140" s="4"/>
      <c r="E140" s="4"/>
      <c r="F140" s="4"/>
      <c r="G140" s="4"/>
    </row>
    <row r="141" spans="1:7" x14ac:dyDescent="0.3">
      <c r="A141" s="4"/>
      <c r="B141" s="4"/>
      <c r="C141" s="4"/>
      <c r="D141" s="4"/>
      <c r="E141" s="4"/>
      <c r="F141" s="4"/>
      <c r="G141" s="4"/>
    </row>
    <row r="142" spans="1:7" x14ac:dyDescent="0.3">
      <c r="A142" s="4"/>
      <c r="B142" s="4"/>
      <c r="C142" s="4"/>
      <c r="D142" s="4"/>
      <c r="E142" s="4"/>
      <c r="F142" s="4"/>
      <c r="G142" s="4"/>
    </row>
    <row r="143" spans="1:7" x14ac:dyDescent="0.3">
      <c r="A143" s="4"/>
      <c r="B143" s="4"/>
      <c r="C143" s="4"/>
      <c r="D143" s="4"/>
      <c r="E143" s="4"/>
      <c r="F143" s="4"/>
      <c r="G143" s="4"/>
    </row>
  </sheetData>
  <phoneticPr fontId="2" type="noConversion"/>
  <dataValidations count="1">
    <dataValidation type="list" allowBlank="1" showInputMessage="1" showErrorMessage="1" sqref="C2:C143" xr:uid="{371CBD8D-6520-4ECA-9AB7-F29CF03006EA}">
      <formula1>"#2,#3,#4,#5,#6,#7,#8,#9,#10,#11,#14,#18"</formula1>
    </dataValidation>
  </dataValidations>
  <pageMargins left="0.7" right="0.7" top="0.75" bottom="0.75" header="0.3" footer="0.3"/>
  <pageSetup paperSize="9" scale="3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71BC-E990-4603-98B9-02D2BFAA5BCF}">
  <dimension ref="A1:C13"/>
  <sheetViews>
    <sheetView view="pageBreakPreview" zoomScaleNormal="100" zoomScaleSheetLayoutView="100" workbookViewId="0">
      <selection activeCell="C3" sqref="C3"/>
    </sheetView>
  </sheetViews>
  <sheetFormatPr baseColWidth="10" defaultRowHeight="14.4" x14ac:dyDescent="0.3"/>
  <cols>
    <col min="2" max="2" width="21.6640625" customWidth="1"/>
    <col min="3" max="3" width="26.88671875" customWidth="1"/>
  </cols>
  <sheetData>
    <row r="1" spans="1:3" x14ac:dyDescent="0.3">
      <c r="A1" s="2" t="s">
        <v>3</v>
      </c>
      <c r="B1" s="2" t="s">
        <v>7</v>
      </c>
      <c r="C1" s="2" t="s">
        <v>4</v>
      </c>
    </row>
    <row r="2" spans="1:3" x14ac:dyDescent="0.3">
      <c r="A2" s="1" t="s">
        <v>12</v>
      </c>
      <c r="B2" s="1">
        <f>6.4/1000</f>
        <v>6.4000000000000003E-3</v>
      </c>
      <c r="C2" s="1">
        <v>0.25</v>
      </c>
    </row>
    <row r="3" spans="1:3" x14ac:dyDescent="0.3">
      <c r="A3" s="1" t="s">
        <v>13</v>
      </c>
      <c r="B3" s="1">
        <f>9.5/1000</f>
        <v>9.4999999999999998E-3</v>
      </c>
      <c r="C3" s="1">
        <v>0.56000000000000005</v>
      </c>
    </row>
    <row r="4" spans="1:3" x14ac:dyDescent="0.3">
      <c r="A4" s="1" t="s">
        <v>10</v>
      </c>
      <c r="B4" s="1">
        <f>12.7/1000</f>
        <v>1.2699999999999999E-2</v>
      </c>
      <c r="C4" s="1">
        <v>0.99399999999999999</v>
      </c>
    </row>
    <row r="5" spans="1:3" x14ac:dyDescent="0.3">
      <c r="A5" s="1" t="s">
        <v>11</v>
      </c>
      <c r="B5" s="1">
        <f>15.9/1000</f>
        <v>1.5900000000000001E-2</v>
      </c>
      <c r="C5" s="1">
        <v>1.552</v>
      </c>
    </row>
    <row r="6" spans="1:3" x14ac:dyDescent="0.3">
      <c r="A6" s="1" t="s">
        <v>14</v>
      </c>
      <c r="B6" s="1">
        <f>19.1/1000</f>
        <v>1.9100000000000002E-2</v>
      </c>
      <c r="C6" s="1">
        <v>2.2349999999999999</v>
      </c>
    </row>
    <row r="7" spans="1:3" x14ac:dyDescent="0.3">
      <c r="A7" s="1" t="s">
        <v>15</v>
      </c>
      <c r="B7" s="1">
        <f>22.2/1000</f>
        <v>2.2200000000000001E-2</v>
      </c>
      <c r="C7" s="1">
        <v>3.0419999999999998</v>
      </c>
    </row>
    <row r="8" spans="1:3" x14ac:dyDescent="0.3">
      <c r="A8" s="1" t="s">
        <v>16</v>
      </c>
      <c r="B8" s="1">
        <f>25.4/1000</f>
        <v>2.5399999999999999E-2</v>
      </c>
      <c r="C8" s="1">
        <v>3.9729999999999999</v>
      </c>
    </row>
    <row r="9" spans="1:3" x14ac:dyDescent="0.3">
      <c r="A9" s="1" t="s">
        <v>17</v>
      </c>
      <c r="B9" s="1">
        <f>28.7/1000</f>
        <v>2.87E-2</v>
      </c>
      <c r="C9" s="1">
        <v>5.0599999999999996</v>
      </c>
    </row>
    <row r="10" spans="1:3" x14ac:dyDescent="0.3">
      <c r="A10" s="1" t="s">
        <v>18</v>
      </c>
      <c r="B10" s="1">
        <f>32.3/1000</f>
        <v>3.2299999999999995E-2</v>
      </c>
      <c r="C10" s="1">
        <v>6.4039999999999999</v>
      </c>
    </row>
    <row r="11" spans="1:3" x14ac:dyDescent="0.3">
      <c r="A11" s="1" t="s">
        <v>19</v>
      </c>
      <c r="B11" s="1">
        <f>35.8/1000</f>
        <v>3.5799999999999998E-2</v>
      </c>
      <c r="C11" s="1">
        <v>7.907</v>
      </c>
    </row>
    <row r="12" spans="1:3" x14ac:dyDescent="0.3">
      <c r="A12" s="1" t="s">
        <v>20</v>
      </c>
      <c r="B12" s="1">
        <f>43/1000</f>
        <v>4.2999999999999997E-2</v>
      </c>
      <c r="C12" s="1">
        <v>11.38</v>
      </c>
    </row>
    <row r="13" spans="1:3" x14ac:dyDescent="0.3">
      <c r="A13" s="1" t="s">
        <v>21</v>
      </c>
      <c r="B13" s="1">
        <f>57.3/1000</f>
        <v>5.7299999999999997E-2</v>
      </c>
      <c r="C13" s="1">
        <v>20.239999999999998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TablaBarras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Gabriela Gasca Quimbayo</dc:creator>
  <cp:lastModifiedBy>Lizeth Gabriela Gasca Quimbayo</cp:lastModifiedBy>
  <dcterms:created xsi:type="dcterms:W3CDTF">2025-09-07T21:25:02Z</dcterms:created>
  <dcterms:modified xsi:type="dcterms:W3CDTF">2025-10-21T01:47:29Z</dcterms:modified>
</cp:coreProperties>
</file>